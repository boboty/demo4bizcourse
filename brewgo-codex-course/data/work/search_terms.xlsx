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82f11f2f5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rch Terms" sheetId="1" r:id="R59fec2dce0b6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left style="thin">
        <x:color rgb="FF0B5F56"/>
      </x:left>
      <x:top style="thin">
        <x:color rgb="FF0B5F56"/>
      </x:top>
      <x:bottom style="thin">
        <x:color rgb="FF0B5F56"/>
      </x:bottom>
    </x:border>
    <x:border>
      <x:top style="thin">
        <x:color rgb="FF0B5F56"/>
      </x:top>
      <x:bottom style="thin">
        <x:color rgb="FF0B5F56"/>
      </x:bottom>
    </x:border>
    <x:border>
      <x:right style="thin">
        <x:color rgb="FF0B5F56"/>
      </x:right>
      <x:top style="thin">
        <x:color rgb="FF0B5F56"/>
      </x:top>
      <x:bottom style="thin">
        <x:color rgb="FF0B5F5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546ca13444d5c" /><Relationship Type="http://schemas.openxmlformats.org/officeDocument/2006/relationships/theme" Target="/xl/theme/theme1.xml" Id="R81e2ec6d7b5e4fc2" /><Relationship Type="http://schemas.openxmlformats.org/officeDocument/2006/relationships/sharedStrings" Target="/xl/sharedStrings.xml" Id="R5b352a4ba68b420a" /><Relationship Type="http://schemas.openxmlformats.org/officeDocument/2006/relationships/worksheet" Target="/xl/worksheets/sheet1.xml" Id="R59fec2dce0b64b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3" hidden="0" customWidth="1"/>
    <x:col min="5" max="5" width="26" hidden="0" customWidth="1"/>
    <x:col min="6" max="6" width="12" hidden="0" customWidth="1"/>
    <x:col min="7" max="7" width="13" hidden="0" customWidth="1"/>
    <x:col min="8" max="8" width="10" hidden="0" customWidth="1"/>
    <x:col min="9" max="9" width="12" hidden="0" customWidth="1"/>
    <x:col min="10" max="10" width="10" hidden="0" customWidth="1"/>
    <x:col min="11" max="11" width="13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30" hidden="0" customHeight="1">
      <x:c r="A1" s="9" t="str">
        <x:v>date_range</x:v>
      </x:c>
      <x:c r="B1" s="10" t="str">
        <x:v>campaign</x:v>
      </x:c>
      <x:c r="C1" s="10" t="str">
        <x:v>ad_group</x:v>
      </x:c>
      <x:c r="D1" s="10" t="str">
        <x:v>sku</x:v>
      </x:c>
      <x:c r="E1" s="10" t="str">
        <x:v>search_term</x:v>
      </x:c>
      <x:c r="F1" s="10" t="str">
        <x:v>match_type</x:v>
      </x:c>
      <x:c r="G1" s="10" t="str">
        <x:v>impressions</x:v>
      </x:c>
      <x:c r="H1" s="10" t="str">
        <x:v>clicks</x:v>
      </x:c>
      <x:c r="I1" s="10" t="str">
        <x:v>spend</x:v>
      </x:c>
      <x:c r="J1" s="10" t="str">
        <x:v>orders</x:v>
      </x:c>
      <x:c r="K1" s="10" t="str">
        <x:v>sales</x:v>
      </x:c>
      <x:c r="L1" s="10" t="str">
        <x:v>ctr</x:v>
      </x:c>
      <x:c r="M1" s="10" t="str">
        <x:v>cvr</x:v>
      </x:c>
      <x:c r="N1" s="11" t="str">
        <x:v>acos</x:v>
      </x:c>
    </x:row>
    <x:row r="2" ht="15" hidden="0" customHeight="1">
      <x:c r="A2" s="12" t="str">
        <x:v>2026-06-01 to 2026-06-14</x:v>
      </x:c>
      <x:c r="B2" s="12" t="str">
        <x:v>G2 Manual Core</x:v>
      </x:c>
      <x:c r="C2" s="12" t="str">
        <x:v>Black Hero</x:v>
      </x:c>
      <x:c r="D2" s="12" t="str">
        <x:v>BG-G2-SLV</x:v>
      </x:c>
      <x:c r="E2" s="12" t="str">
        <x:v>manual coffee grinder</x:v>
      </x:c>
      <x:c r="F2" s="12" t="str">
        <x:v>Exact</x:v>
      </x:c>
      <x:c r="G2" s="12" t="n">
        <x:v>1332</x:v>
      </x:c>
      <x:c r="H2" s="12" t="n">
        <x:v>81</x:v>
      </x:c>
      <x:c r="I2" s="13" t="n">
        <x:v>42.05</x:v>
      </x:c>
      <x:c r="J2" s="12" t="n">
        <x:v>11</x:v>
      </x:c>
      <x:c r="K2" s="13" t="n">
        <x:v>538.89</x:v>
      </x:c>
      <x:c r="L2" s="14" t="n">
        <x:f>IF(G2=0,0,H2/G2)</x:f>
        <x:v>0.060810810810810814</x:v>
      </x:c>
      <x:c r="M2" s="14" t="n">
        <x:f>IF(H2=0,0,J2/H2)</x:f>
        <x:v>0.13580246913580246</x:v>
      </x:c>
      <x:c r="N2" s="14" t="n">
        <x:f>IF(K2=0,"",I2/K2)</x:f>
        <x:v>0.07803076694687228</x:v>
      </x:c>
    </x:row>
    <x:row r="3" ht="15" hidden="0" customHeight="1">
      <x:c r="A3" s="12" t="str">
        <x:v>2026-06-01 to 2026-06-14</x:v>
      </x:c>
      <x:c r="B3" s="12" t="str">
        <x:v>G2 Discovery</x:v>
      </x:c>
      <x:c r="C3" s="12" t="str">
        <x:v>Standard Variants</x:v>
      </x:c>
      <x:c r="D3" s="12" t="str">
        <x:v>BG-G2-BLK</x:v>
      </x:c>
      <x:c r="E3" s="12" t="str">
        <x:v>portable coffee grinder</x:v>
      </x:c>
      <x:c r="F3" s="12" t="str">
        <x:v>Phrase</x:v>
      </x:c>
      <x:c r="G3" s="12" t="n">
        <x:v>1326</x:v>
      </x:c>
      <x:c r="H3" s="12" t="n">
        <x:v>70</x:v>
      </x:c>
      <x:c r="I3" s="13" t="n">
        <x:v>41.12</x:v>
      </x:c>
      <x:c r="J3" s="12" t="n">
        <x:v>7</x:v>
      </x:c>
      <x:c r="K3" s="13" t="n">
        <x:v>279.93</x:v>
      </x:c>
      <x:c r="L3" s="14" t="n">
        <x:f>IF(G3=0,0,H3/G3)</x:f>
        <x:v>0.05279034690799397</x:v>
      </x:c>
      <x:c r="M3" s="14" t="n">
        <x:f>IF(H3=0,0,J3/H3)</x:f>
        <x:v>0.1</x:v>
      </x:c>
      <x:c r="N3" s="14" t="n">
        <x:f>IF(K3=0,"",I3/K3)</x:f>
        <x:v>0.14689386632372378</x:v>
      </x:c>
    </x:row>
    <x:row r="4" ht="15" hidden="0" customHeight="1">
      <x:c r="A4" s="12" t="str">
        <x:v>2026-06-01 to 2026-06-14</x:v>
      </x:c>
      <x:c r="B4" s="12" t="str">
        <x:v>G2 Competitor</x:v>
      </x:c>
      <x:c r="C4" s="12" t="str">
        <x:v>Black Hero</x:v>
      </x:c>
      <x:c r="D4" s="12" t="str">
        <x:v>BG-G2-BLK</x:v>
      </x:c>
      <x:c r="E4" s="12" t="str">
        <x:v>travel coffee grinder</x:v>
      </x:c>
      <x:c r="F4" s="12" t="str">
        <x:v>Exact</x:v>
      </x:c>
      <x:c r="G4" s="12" t="n">
        <x:v>975</x:v>
      </x:c>
      <x:c r="H4" s="12" t="n">
        <x:v>56</x:v>
      </x:c>
      <x:c r="I4" s="13" t="n">
        <x:v>33.5</x:v>
      </x:c>
      <x:c r="J4" s="12" t="n">
        <x:v>5</x:v>
      </x:c>
      <x:c r="K4" s="13" t="n">
        <x:v>199.95000000000002</x:v>
      </x:c>
      <x:c r="L4" s="14" t="n">
        <x:f>IF(G4=0,0,H4/G4)</x:f>
        <x:v>0.057435897435897436</x:v>
      </x:c>
      <x:c r="M4" s="14" t="n">
        <x:f>IF(H4=0,0,J4/H4)</x:f>
        <x:v>0.08928571428571429</x:v>
      </x:c>
      <x:c r="N4" s="14" t="n">
        <x:f>IF(K4=0,"",I4/K4)</x:f>
        <x:v>0.16754188547136784</x:v>
      </x:c>
    </x:row>
    <x:row r="5" ht="15" hidden="0" customHeight="1">
      <x:c r="A5" s="12" t="str">
        <x:v>2026-06-01 to 2026-06-14</x:v>
      </x:c>
      <x:c r="B5" s="12" t="str">
        <x:v>G2 Manual Core</x:v>
      </x:c>
      <x:c r="C5" s="12" t="str">
        <x:v>Standard Variants</x:v>
      </x:c>
      <x:c r="D5" s="12" t="str">
        <x:v>BG-G2-BLK</x:v>
      </x:c>
      <x:c r="E5" s="12" t="str">
        <x:v>hand grinder for pour over</x:v>
      </x:c>
      <x:c r="F5" s="12" t="str">
        <x:v>Broad</x:v>
      </x:c>
      <x:c r="G5" s="12" t="n">
        <x:v>661</x:v>
      </x:c>
      <x:c r="H5" s="12" t="n">
        <x:v>40</x:v>
      </x:c>
      <x:c r="I5" s="13" t="n">
        <x:v>24.71</x:v>
      </x:c>
      <x:c r="J5" s="12" t="n">
        <x:v>4</x:v>
      </x:c>
      <x:c r="K5" s="13" t="n">
        <x:v>159.96</x:v>
      </x:c>
      <x:c r="L5" s="14" t="n">
        <x:f>IF(G5=0,0,H5/G5)</x:f>
        <x:v>0.060514372163388806</x:v>
      </x:c>
      <x:c r="M5" s="14" t="n">
        <x:f>IF(H5=0,0,J5/H5)</x:f>
        <x:v>0.1</x:v>
      </x:c>
      <x:c r="N5" s="14" t="n">
        <x:f>IF(K5=0,"",I5/K5)</x:f>
        <x:v>0.15447611902975744</x:v>
      </x:c>
    </x:row>
    <x:row r="6" ht="15" hidden="0" customHeight="1">
      <x:c r="A6" s="12" t="str">
        <x:v>2026-06-01 to 2026-06-14</x:v>
      </x:c>
      <x:c r="B6" s="12" t="str">
        <x:v>G2 Discovery</x:v>
      </x:c>
      <x:c r="C6" s="12" t="str">
        <x:v>Black Hero</x:v>
      </x:c>
      <x:c r="D6" s="12" t="str">
        <x:v>BG-G2-BLK</x:v>
      </x:c>
      <x:c r="E6" s="12" t="str">
        <x:v>coffee grinder camping</x:v>
      </x:c>
      <x:c r="F6" s="12" t="str">
        <x:v>Phrase</x:v>
      </x:c>
      <x:c r="G6" s="12" t="n">
        <x:v>530</x:v>
      </x:c>
      <x:c r="H6" s="12" t="n">
        <x:v>28</x:v>
      </x:c>
      <x:c r="I6" s="13" t="n">
        <x:v>17.47</x:v>
      </x:c>
      <x:c r="J6" s="12" t="n">
        <x:v>3</x:v>
      </x:c>
      <x:c r="K6" s="13" t="n">
        <x:v>119.97</x:v>
      </x:c>
      <x:c r="L6" s="14" t="n">
        <x:f>IF(G6=0,0,H6/G6)</x:f>
        <x:v>0.052830188679245285</x:v>
      </x:c>
      <x:c r="M6" s="14" t="n">
        <x:f>IF(H6=0,0,J6/H6)</x:f>
        <x:v>0.10714285714285714</x:v>
      </x:c>
      <x:c r="N6" s="14" t="n">
        <x:f>IF(K6=0,"",I6/K6)</x:f>
        <x:v>0.1456197382679003</x:v>
      </x:c>
    </x:row>
    <x:row r="7" ht="15" hidden="0" customHeight="1">
      <x:c r="A7" s="12" t="str">
        <x:v>2026-06-01 to 2026-06-14</x:v>
      </x:c>
      <x:c r="B7" s="12" t="str">
        <x:v>G2 Competitor</x:v>
      </x:c>
      <x:c r="C7" s="12" t="str">
        <x:v>Standard Variants</x:v>
      </x:c>
      <x:c r="D7" s="12" t="str">
        <x:v>BG-G2-BLK</x:v>
      </x:c>
      <x:c r="E7" s="12" t="str">
        <x:v>espresso hand grinder</x:v>
      </x:c>
      <x:c r="F7" s="12" t="str">
        <x:v>Broad</x:v>
      </x:c>
      <x:c r="G7" s="12" t="n">
        <x:v>1029</x:v>
      </x:c>
      <x:c r="H7" s="12" t="n">
        <x:v>56</x:v>
      </x:c>
      <x:c r="I7" s="13" t="n">
        <x:v>61.88</x:v>
      </x:c>
      <x:c r="J7" s="12" t="n">
        <x:v>2</x:v>
      </x:c>
      <x:c r="K7" s="13" t="n">
        <x:v>79.98</x:v>
      </x:c>
      <x:c r="L7" s="14" t="n">
        <x:f>IF(G7=0,0,H7/G7)</x:f>
        <x:v>0.05442176870748299</x:v>
      </x:c>
      <x:c r="M7" s="14" t="n">
        <x:f>IF(H7=0,0,J7/H7)</x:f>
        <x:v>0.03571428571428571</x:v>
      </x:c>
      <x:c r="N7" s="14" t="n">
        <x:f>IF(K7=0,"",I7/K7)</x:f>
        <x:v>0.7736934233558389</x:v>
      </x:c>
    </x:row>
    <x:row r="8" ht="15" hidden="0" customHeight="1">
      <x:c r="A8" s="12" t="str">
        <x:v>2026-06-01 to 2026-06-14</x:v>
      </x:c>
      <x:c r="B8" s="12" t="str">
        <x:v>G2 Manual Core</x:v>
      </x:c>
      <x:c r="C8" s="12" t="str">
        <x:v>Black Hero</x:v>
      </x:c>
      <x:c r="D8" s="12" t="str">
        <x:v>BG-G2-BLK</x:v>
      </x:c>
      <x:c r="E8" s="12" t="str">
        <x:v>electric coffee grinder</x:v>
      </x:c>
      <x:c r="F8" s="12" t="str">
        <x:v>Broad</x:v>
      </x:c>
      <x:c r="G8" s="12" t="n">
        <x:v>2244</x:v>
      </x:c>
      <x:c r="H8" s="12" t="n">
        <x:v>93</x:v>
      </x:c>
      <x:c r="I8" s="13" t="n">
        <x:v>86.19</x:v>
      </x:c>
      <x:c r="J8" s="12" t="n">
        <x:v>0</x:v>
      </x:c>
      <x:c r="K8" s="13" t="n">
        <x:v>0</x:v>
      </x:c>
      <x:c r="L8" s="14" t="n">
        <x:f>IF(G8=0,0,H8/G8)</x:f>
        <x:v>0.04144385026737968</x:v>
      </x:c>
      <x:c r="M8" s="14" t="n">
        <x:f>IF(H8=0,0,J8/H8)</x:f>
        <x:v>0</x:v>
      </x:c>
      <x:c r="N8" s="14" t="str">
        <x:f>IF(K8=0,"",I8/K8)</x:f>
      </x:c>
    </x:row>
    <x:row r="9" ht="15" hidden="0" customHeight="1">
      <x:c r="A9" s="12" t="str">
        <x:v>2026-06-01 to 2026-06-14</x:v>
      </x:c>
      <x:c r="B9" s="12" t="str">
        <x:v>G2 Discovery</x:v>
      </x:c>
      <x:c r="C9" s="12" t="str">
        <x:v>Standard Variants</x:v>
      </x:c>
      <x:c r="D9" s="12" t="str">
        <x:v>BG-G2-SLV</x:v>
      </x:c>
      <x:c r="E9" s="12" t="str">
        <x:v>spice grinder</x:v>
      </x:c>
      <x:c r="F9" s="12" t="str">
        <x:v>Broad</x:v>
      </x:c>
      <x:c r="G9" s="12" t="n">
        <x:v>872</x:v>
      </x:c>
      <x:c r="H9" s="12" t="n">
        <x:v>34</x:v>
      </x:c>
      <x:c r="I9" s="13" t="n">
        <x:v>30.63</x:v>
      </x:c>
      <x:c r="J9" s="12" t="n">
        <x:v>0</x:v>
      </x:c>
      <x:c r="K9" s="13" t="n">
        <x:v>0</x:v>
      </x:c>
      <x:c r="L9" s="14" t="n">
        <x:f>IF(G9=0,0,H9/G9)</x:f>
        <x:v>0.0389908256880734</x:v>
      </x:c>
      <x:c r="M9" s="14" t="n">
        <x:f>IF(H9=0,0,J9/H9)</x:f>
        <x:v>0</x:v>
      </x:c>
      <x:c r="N9" s="14" t="str">
        <x:f>IF(K9=0,"",I9/K9)</x:f>
      </x:c>
    </x:row>
    <x:row r="10" ht="15" hidden="0" customHeight="1">
      <x:c r="A10" s="12" t="str">
        <x:v>2026-06-01 to 2026-06-14</x:v>
      </x:c>
      <x:c r="B10" s="12" t="str">
        <x:v>G2 Competitor</x:v>
      </x:c>
      <x:c r="C10" s="12" t="str">
        <x:v>Black Hero</x:v>
      </x:c>
      <x:c r="D10" s="12" t="str">
        <x:v>BG-G2-BLK</x:v>
      </x:c>
      <x:c r="E10" s="12" t="str">
        <x:v>coffee grinder battery</x:v>
      </x:c>
      <x:c r="F10" s="12" t="str">
        <x:v>Phrase</x:v>
      </x:c>
      <x:c r="G10" s="12" t="n">
        <x:v>82</x:v>
      </x:c>
      <x:c r="H10" s="12" t="n">
        <x:v>2</x:v>
      </x:c>
      <x:c r="I10" s="13" t="n">
        <x:v>4.2</x:v>
      </x:c>
      <x:c r="J10" s="12" t="n">
        <x:v>0</x:v>
      </x:c>
      <x:c r="K10" s="13" t="n">
        <x:v>0</x:v>
      </x:c>
      <x:c r="L10" s="14" t="n">
        <x:f>IF(G10=0,0,H10/G10)</x:f>
        <x:v>0.024390243902439025</x:v>
      </x:c>
      <x:c r="M10" s="14" t="n">
        <x:f>IF(H10=0,0,J10/H10)</x:f>
        <x:v>0</x:v>
      </x:c>
      <x:c r="N10" s="14" t="str">
        <x:f>IF(K10=0,"",I10/K10)</x:f>
      </x:c>
    </x:row>
    <x:row r="11" ht="15" hidden="0" customHeight="1">
      <x:c r="A11" s="12" t="str">
        <x:v>2026-06-01 to 2026-06-14</x:v>
      </x:c>
      <x:c r="B11" s="12" t="str">
        <x:v>G2 Manual Core</x:v>
      </x:c>
      <x:c r="C11" s="12" t="str">
        <x:v>Standard Variants</x:v>
      </x:c>
      <x:c r="D11" s="12" t="str">
        <x:v>BG-G2-BLK</x:v>
      </x:c>
      <x:c r="E11" s="12" t="str">
        <x:v>best manual coffee grinder</x:v>
      </x:c>
      <x:c r="F11" s="12" t="str">
        <x:v>Exact</x:v>
      </x:c>
      <x:c r="G11" s="12" t="n">
        <x:v>44</x:v>
      </x:c>
      <x:c r="H11" s="12" t="n">
        <x:v>2</x:v>
      </x:c>
      <x:c r="I11" s="13" t="n">
        <x:v>4.7</x:v>
      </x:c>
      <x:c r="J11" s="12" t="n">
        <x:v>1</x:v>
      </x:c>
      <x:c r="K11" s="13" t="n">
        <x:v>48.99</x:v>
      </x:c>
      <x:c r="L11" s="14" t="n">
        <x:f>IF(G11=0,0,H11/G11)</x:f>
        <x:v>0.045454545454545456</x:v>
      </x:c>
      <x:c r="M11" s="14" t="n">
        <x:f>IF(H11=0,0,J11/H11)</x:f>
        <x:v>0.5</x:v>
      </x:c>
      <x:c r="N11" s="14" t="n">
        <x:f>IF(K11=0,"",I11/K11)</x:f>
        <x:v>0.09593794651969789</x:v>
      </x:c>
    </x:row>
    <x:row r="12" ht="15" hidden="0" customHeight="1">
      <x:c r="A12" s="12" t="str">
        <x:v>2026-06-01 to 2026-06-14</x:v>
      </x:c>
      <x:c r="B12" s="12" t="str">
        <x:v>G2 Discovery</x:v>
      </x:c>
      <x:c r="C12" s="12" t="str">
        <x:v>Black Hero</x:v>
      </x:c>
      <x:c r="D12" s="12" t="str">
        <x:v>BG-G2-BLK</x:v>
      </x:c>
      <x:c r="E12" s="12" t="str">
        <x:v>quiet coffee grinder</x:v>
      </x:c>
      <x:c r="F12" s="12" t="str">
        <x:v>Phrase</x:v>
      </x:c>
      <x:c r="G12" s="12" t="n">
        <x:v>127</x:v>
      </x:c>
      <x:c r="H12" s="12" t="n">
        <x:v>5</x:v>
      </x:c>
      <x:c r="I12" s="13" t="n">
        <x:v>7.35</x:v>
      </x:c>
      <x:c r="J12" s="12" t="n">
        <x:v>0</x:v>
      </x:c>
      <x:c r="K12" s="13" t="n">
        <x:v>0</x:v>
      </x:c>
      <x:c r="L12" s="14" t="n">
        <x:f>IF(G12=0,0,H12/G12)</x:f>
        <x:v>0.03937007874015748</x:v>
      </x:c>
      <x:c r="M12" s="14" t="n">
        <x:f>IF(H12=0,0,J12/H12)</x:f>
        <x:v>0</x:v>
      </x:c>
      <x:c r="N12" s="14" t="str">
        <x:f>IF(K12=0,"",I12/K12)</x:f>
      </x:c>
    </x:row>
    <x:row r="13" ht="15" hidden="0" customHeight="1">
      <x:c r="A13" s="12" t="str">
        <x:v>2026-06-01 to 2026-06-14</x:v>
      </x:c>
      <x:c r="B13" s="12" t="str">
        <x:v>G2 Competitor</x:v>
      </x:c>
      <x:c r="C13" s="12" t="str">
        <x:v>Standard Variants</x:v>
      </x:c>
      <x:c r="D13" s="12" t="str">
        <x:v>BG-G2-BLK</x:v>
      </x:c>
      <x:c r="E13" s="12" t="str">
        <x:v>mini burr grinder</x:v>
      </x:c>
      <x:c r="F13" s="12" t="str">
        <x:v>Exact</x:v>
      </x:c>
      <x:c r="G13" s="12" t="n">
        <x:v>52</x:v>
      </x:c>
      <x:c r="H13" s="12" t="n">
        <x:v>3</x:v>
      </x:c>
      <x:c r="I13" s="13" t="n">
        <x:v>4.27</x:v>
      </x:c>
      <x:c r="J13" s="12" t="n">
        <x:v>1</x:v>
      </x:c>
      <x:c r="K13" s="13" t="n">
        <x:v>39.99</x:v>
      </x:c>
      <x:c r="L13" s="14" t="n">
        <x:f>IF(G13=0,0,H13/G13)</x:f>
        <x:v>0.057692307692307696</x:v>
      </x:c>
      <x:c r="M13" s="14" t="n">
        <x:f>IF(H13=0,0,J13/H13)</x:f>
        <x:v>0.3333333333333333</x:v>
      </x:c>
      <x:c r="N13" s="14" t="n">
        <x:f>IF(K13=0,"",I13/K13)</x:f>
        <x:v>0.10677669417354337</x:v>
      </x:c>
    </x:row>
    <x:row r="14" ht="15" hidden="0" customHeight="1">
      <x:c r="A14" s="12" t="str">
        <x:v>2026-06-01 to 2026-06-14</x:v>
      </x:c>
      <x:c r="B14" s="12" t="str">
        <x:v>G2 Manual Core</x:v>
      </x:c>
      <x:c r="C14" s="12" t="str">
        <x:v>Black Hero</x:v>
      </x:c>
      <x:c r="D14" s="12" t="str">
        <x:v>BG-G2-BLK</x:v>
      </x:c>
      <x:c r="E14" s="12" t="str">
        <x:v>coffee mill travel</x:v>
      </x:c>
      <x:c r="F14" s="12" t="str">
        <x:v>Phrase</x:v>
      </x:c>
      <x:c r="G14" s="12" t="n">
        <x:v>202</x:v>
      </x:c>
      <x:c r="H14" s="12" t="n">
        <x:v>12</x:v>
      </x:c>
      <x:c r="I14" s="13" t="n">
        <x:v>7.78</x:v>
      </x:c>
      <x:c r="J14" s="12" t="n">
        <x:v>1</x:v>
      </x:c>
      <x:c r="K14" s="13" t="n">
        <x:v>39.99</x:v>
      </x:c>
      <x:c r="L14" s="14" t="n">
        <x:f>IF(G14=0,0,H14/G14)</x:f>
        <x:v>0.0594059405940594</x:v>
      </x:c>
      <x:c r="M14" s="14" t="n">
        <x:f>IF(H14=0,0,J14/H14)</x:f>
        <x:v>0.08333333333333333</x:v>
      </x:c>
      <x:c r="N14" s="14" t="n">
        <x:f>IF(K14=0,"",I14/K14)</x:f>
        <x:v>0.19454863715928983</x:v>
      </x:c>
    </x:row>
    <x:row r="15" ht="15" hidden="0" customHeight="1">
      <x:c r="A15" s="12" t="str">
        <x:v>2026-06-01 to 2026-06-14</x:v>
      </x:c>
      <x:c r="B15" s="12" t="str">
        <x:v>G2 Discovery</x:v>
      </x:c>
      <x:c r="C15" s="12" t="str">
        <x:v>Standard Variants</x:v>
      </x:c>
      <x:c r="D15" s="12" t="str">
        <x:v>BG-G2-BLK</x:v>
      </x:c>
      <x:c r="E15" s="12" t="str">
        <x:v>ceramic coffee grinder</x:v>
      </x:c>
      <x:c r="F15" s="12" t="str">
        <x:v>Broad</x:v>
      </x:c>
      <x:c r="G15" s="12" t="n">
        <x:v>308</x:v>
      </x:c>
      <x:c r="H15" s="12" t="n">
        <x:v>15</x:v>
      </x:c>
      <x:c r="I15" s="13" t="n">
        <x:v>9.7</x:v>
      </x:c>
      <x:c r="J15" s="12" t="n">
        <x:v>1</x:v>
      </x:c>
      <x:c r="K15" s="13" t="n">
        <x:v>39.99</x:v>
      </x:c>
      <x:c r="L15" s="14" t="n">
        <x:f>IF(G15=0,0,H15/G15)</x:f>
        <x:v>0.048701298701298704</x:v>
      </x:c>
      <x:c r="M15" s="14" t="n">
        <x:f>IF(H15=0,0,J15/H15)</x:f>
        <x:v>0.06666666666666667</x:v>
      </x:c>
      <x:c r="N15" s="14" t="n">
        <x:f>IF(K15=0,"",I15/K15)</x:f>
        <x:v>0.24256064016003998</x:v>
      </x:c>
    </x:row>
    <x:row r="16" ht="15" hidden="0" customHeight="1">
      <x:c r="A16" s="12" t="str">
        <x:v>2026-06-01 to 2026-06-14</x:v>
      </x:c>
      <x:c r="B16" s="12" t="str">
        <x:v>G2 Competitor</x:v>
      </x:c>
      <x:c r="C16" s="12" t="str">
        <x:v>Black Hero</x:v>
      </x:c>
      <x:c r="D16" s="12" t="str">
        <x:v>BG-G2-SLV</x:v>
      </x:c>
      <x:c r="E16" s="12" t="str">
        <x:v>manual coffee grinder</x:v>
      </x:c>
      <x:c r="F16" s="12" t="str">
        <x:v>Exact</x:v>
      </x:c>
      <x:c r="G16" s="12" t="n">
        <x:v>1739</x:v>
      </x:c>
      <x:c r="H16" s="12" t="n">
        <x:v>105</x:v>
      </x:c>
      <x:c r="I16" s="13" t="n">
        <x:v>54.9</x:v>
      </x:c>
      <x:c r="J16" s="12" t="n">
        <x:v>11</x:v>
      </x:c>
      <x:c r="K16" s="13" t="n">
        <x:v>439.89000000000004</x:v>
      </x:c>
      <x:c r="L16" s="14" t="n">
        <x:f>IF(G16=0,0,H16/G16)</x:f>
        <x:v>0.060379528464634846</x:v>
      </x:c>
      <x:c r="M16" s="14" t="n">
        <x:f>IF(H16=0,0,J16/H16)</x:f>
        <x:v>0.10476190476190476</x:v>
      </x:c>
      <x:c r="N16" s="14" t="n">
        <x:f>IF(K16=0,"",I16/K16)</x:f>
        <x:v>0.12480392825479096</x:v>
      </x:c>
    </x:row>
    <x:row r="17" ht="15" hidden="0" customHeight="1">
      <x:c r="A17" s="12" t="str">
        <x:v>2026-06-01 to 2026-06-14</x:v>
      </x:c>
      <x:c r="B17" s="12" t="str">
        <x:v>G2 Manual Core</x:v>
      </x:c>
      <x:c r="C17" s="12" t="str">
        <x:v>Standard Variants</x:v>
      </x:c>
      <x:c r="D17" s="12" t="str">
        <x:v>BG-G2-BLK</x:v>
      </x:c>
      <x:c r="E17" s="12" t="str">
        <x:v>portable coffee grinder</x:v>
      </x:c>
      <x:c r="F17" s="12" t="str">
        <x:v>Phrase</x:v>
      </x:c>
      <x:c r="G17" s="12" t="n">
        <x:v>1118</x:v>
      </x:c>
      <x:c r="H17" s="12" t="n">
        <x:v>59</x:v>
      </x:c>
      <x:c r="I17" s="13" t="n">
        <x:v>34.65</x:v>
      </x:c>
      <x:c r="J17" s="12" t="n">
        <x:v>6</x:v>
      </x:c>
      <x:c r="K17" s="13" t="n">
        <x:v>239.94</x:v>
      </x:c>
      <x:c r="L17" s="14" t="n">
        <x:f>IF(G17=0,0,H17/G17)</x:f>
        <x:v>0.052772808586762074</x:v>
      </x:c>
      <x:c r="M17" s="14" t="n">
        <x:f>IF(H17=0,0,J17/H17)</x:f>
        <x:v>0.1016949152542373</x:v>
      </x:c>
      <x:c r="N17" s="14" t="n">
        <x:f>IF(K17=0,"",I17/K17)</x:f>
        <x:v>0.1444111027756939</x:v>
      </x:c>
    </x:row>
    <x:row r="18" ht="15" hidden="0" customHeight="1">
      <x:c r="A18" s="12" t="str">
        <x:v>2026-06-01 to 2026-06-14</x:v>
      </x:c>
      <x:c r="B18" s="12" t="str">
        <x:v>G2 Discovery</x:v>
      </x:c>
      <x:c r="C18" s="12" t="str">
        <x:v>Black Hero</x:v>
      </x:c>
      <x:c r="D18" s="12" t="str">
        <x:v>BG-G2-BLK</x:v>
      </x:c>
      <x:c r="E18" s="12" t="str">
        <x:v>travel coffee grinder</x:v>
      </x:c>
      <x:c r="F18" s="12" t="str">
        <x:v>Exact</x:v>
      </x:c>
      <x:c r="G18" s="12" t="n">
        <x:v>846</x:v>
      </x:c>
      <x:c r="H18" s="12" t="n">
        <x:v>49</x:v>
      </x:c>
      <x:c r="I18" s="13" t="n">
        <x:v>29.07</x:v>
      </x:c>
      <x:c r="J18" s="12" t="n">
        <x:v>5</x:v>
      </x:c>
      <x:c r="K18" s="13" t="n">
        <x:v>199.95000000000002</x:v>
      </x:c>
      <x:c r="L18" s="14" t="n">
        <x:f>IF(G18=0,0,H18/G18)</x:f>
        <x:v>0.057919621749408984</x:v>
      </x:c>
      <x:c r="M18" s="14" t="n">
        <x:f>IF(H18=0,0,J18/H18)</x:f>
        <x:v>0.10204081632653061</x:v>
      </x:c>
      <x:c r="N18" s="14" t="n">
        <x:f>IF(K18=0,"",I18/K18)</x:f>
        <x:v>0.14538634658664665</x:v>
      </x:c>
    </x:row>
    <x:row r="19" ht="15" hidden="0" customHeight="1">
      <x:c r="A19" s="12" t="str">
        <x:v>2026-06-01 to 2026-06-14</x:v>
      </x:c>
      <x:c r="B19" s="12" t="str">
        <x:v>G2 Competitor</x:v>
      </x:c>
      <x:c r="C19" s="12" t="str">
        <x:v>Standard Variants</x:v>
      </x:c>
      <x:c r="D19" s="12" t="str">
        <x:v>BG-G2-BLK</x:v>
      </x:c>
      <x:c r="E19" s="12" t="str">
        <x:v>hand grinder for pour over</x:v>
      </x:c>
      <x:c r="F19" s="12" t="str">
        <x:v>Broad</x:v>
      </x:c>
      <x:c r="G19" s="12" t="n">
        <x:v>555</x:v>
      </x:c>
      <x:c r="H19" s="12" t="n">
        <x:v>34</x:v>
      </x:c>
      <x:c r="I19" s="13" t="n">
        <x:v>20.73</x:v>
      </x:c>
      <x:c r="J19" s="12" t="n">
        <x:v>4</x:v>
      </x:c>
      <x:c r="K19" s="13" t="n">
        <x:v>159.96</x:v>
      </x:c>
      <x:c r="L19" s="14" t="n">
        <x:f>IF(G19=0,0,H19/G19)</x:f>
        <x:v>0.06126126126126126</x:v>
      </x:c>
      <x:c r="M19" s="14" t="n">
        <x:f>IF(H19=0,0,J19/H19)</x:f>
        <x:v>0.11764705882352941</x:v>
      </x:c>
      <x:c r="N19" s="14" t="n">
        <x:f>IF(K19=0,"",I19/K19)</x:f>
        <x:v>0.12959489872468116</x:v>
      </x:c>
    </x:row>
    <x:row r="20" ht="15" hidden="0" customHeight="1">
      <x:c r="A20" s="12" t="str">
        <x:v>2026-06-01 to 2026-06-14</x:v>
      </x:c>
      <x:c r="B20" s="12" t="str">
        <x:v>G2 Manual Core</x:v>
      </x:c>
      <x:c r="C20" s="12" t="str">
        <x:v>Black Hero</x:v>
      </x:c>
      <x:c r="D20" s="12" t="str">
        <x:v>BG-G2-BLK</x:v>
      </x:c>
      <x:c r="E20" s="12" t="str">
        <x:v>coffee grinder camping</x:v>
      </x:c>
      <x:c r="F20" s="12" t="str">
        <x:v>Phrase</x:v>
      </x:c>
      <x:c r="G20" s="12" t="n">
        <x:v>459</x:v>
      </x:c>
      <x:c r="H20" s="12" t="n">
        <x:v>24</x:v>
      </x:c>
      <x:c r="I20" s="13" t="n">
        <x:v>15.12</x:v>
      </x:c>
      <x:c r="J20" s="12" t="n">
        <x:v>3</x:v>
      </x:c>
      <x:c r="K20" s="13" t="n">
        <x:v>146.97</x:v>
      </x:c>
      <x:c r="L20" s="14" t="n">
        <x:f>IF(G20=0,0,H20/G20)</x:f>
        <x:v>0.05228758169934641</x:v>
      </x:c>
      <x:c r="M20" s="14" t="n">
        <x:f>IF(H20=0,0,J20/H20)</x:f>
        <x:v>0.125</x:v>
      </x:c>
      <x:c r="N20" s="14" t="n">
        <x:f>IF(K20=0,"",I20/K20)</x:f>
        <x:v>0.10287813839559093</x:v>
      </x:c>
    </x:row>
    <x:row r="21" ht="15" hidden="0" customHeight="1">
      <x:c r="A21" s="12" t="str">
        <x:v>2026-06-01 to 2026-06-14</x:v>
      </x:c>
      <x:c r="B21" s="12" t="str">
        <x:v>G2 Discovery</x:v>
      </x:c>
      <x:c r="C21" s="12" t="str">
        <x:v>Standard Variants</x:v>
      </x:c>
      <x:c r="D21" s="12" t="str">
        <x:v>BG-G2-BLK</x:v>
      </x:c>
      <x:c r="E21" s="12" t="str">
        <x:v>espresso hand grinder</x:v>
      </x:c>
      <x:c r="F21" s="12" t="str">
        <x:v>Broad</x:v>
      </x:c>
      <x:c r="G21" s="12" t="n">
        <x:v>1295</x:v>
      </x:c>
      <x:c r="H21" s="12" t="n">
        <x:v>71</x:v>
      </x:c>
      <x:c r="I21" s="13" t="n">
        <x:v>77.9</x:v>
      </x:c>
      <x:c r="J21" s="12" t="n">
        <x:v>2</x:v>
      </x:c>
      <x:c r="K21" s="13" t="n">
        <x:v>79.98</x:v>
      </x:c>
      <x:c r="L21" s="14" t="n">
        <x:f>IF(G21=0,0,H21/G21)</x:f>
        <x:v>0.054826254826254826</x:v>
      </x:c>
      <x:c r="M21" s="14" t="n">
        <x:f>IF(H21=0,0,J21/H21)</x:f>
        <x:v>0.028169014084507043</x:v>
      </x:c>
      <x:c r="N21" s="14" t="n">
        <x:f>IF(K21=0,"",I21/K21)</x:f>
        <x:v>0.9739934983745937</x:v>
      </x:c>
    </x:row>
    <x:row r="22" ht="15" hidden="0" customHeight="1">
      <x:c r="A22" s="12" t="str">
        <x:v>2026-06-01 to 2026-06-14</x:v>
      </x:c>
      <x:c r="B22" s="12" t="str">
        <x:v>G2 Competitor</x:v>
      </x:c>
      <x:c r="C22" s="12" t="str">
        <x:v>Black Hero</x:v>
      </x:c>
      <x:c r="D22" s="12" t="str">
        <x:v>BG-G2-BLK</x:v>
      </x:c>
      <x:c r="E22" s="12" t="str">
        <x:v>electric coffee grinder</x:v>
      </x:c>
      <x:c r="F22" s="12" t="str">
        <x:v>Broad</x:v>
      </x:c>
      <x:c r="G22" s="12" t="n">
        <x:v>1936</x:v>
      </x:c>
      <x:c r="H22" s="12" t="n">
        <x:v>80</x:v>
      </x:c>
      <x:c r="I22" s="13" t="n">
        <x:v>74.36</x:v>
      </x:c>
      <x:c r="J22" s="12" t="n">
        <x:v>0</x:v>
      </x:c>
      <x:c r="K22" s="13" t="n">
        <x:v>0</x:v>
      </x:c>
      <x:c r="L22" s="14" t="n">
        <x:f>IF(G22=0,0,H22/G22)</x:f>
        <x:v>0.04132231404958678</x:v>
      </x:c>
      <x:c r="M22" s="14" t="n">
        <x:f>IF(H22=0,0,J22/H22)</x:f>
        <x:v>0</x:v>
      </x:c>
      <x:c r="N22" s="14" t="str">
        <x:f>IF(K22=0,"",I22/K22)</x:f>
      </x:c>
    </x:row>
    <x:row r="23" ht="15" hidden="0" customHeight="1">
      <x:c r="A23" s="12" t="str">
        <x:v>Jun 15–Jun 28, 2026</x:v>
      </x:c>
      <x:c r="B23" s="12" t="str">
        <x:v>G2 Manual Core</x:v>
      </x:c>
      <x:c r="C23" s="12" t="str">
        <x:v>Standard Variants</x:v>
      </x:c>
      <x:c r="D23" s="12" t="str">
        <x:v>BG-G2-SLV</x:v>
      </x:c>
      <x:c r="E23" s="12" t="str">
        <x:v>spice grinder</x:v>
      </x:c>
      <x:c r="F23" s="12" t="str">
        <x:v>Broad</x:v>
      </x:c>
      <x:c r="G23" s="12" t="n">
        <x:v>1103</x:v>
      </x:c>
      <x:c r="H23" s="12" t="n">
        <x:v>43</x:v>
      </x:c>
      <x:c r="I23" s="13" t="n">
        <x:v>38.74</x:v>
      </x:c>
      <x:c r="J23" s="12" t="n">
        <x:v>0</x:v>
      </x:c>
      <x:c r="K23" s="13" t="n">
        <x:v>0</x:v>
      </x:c>
      <x:c r="L23" s="14" t="n">
        <x:f>IF(G23=0,0,H23/G23)</x:f>
        <x:v>0.038984587488667274</x:v>
      </x:c>
      <x:c r="M23" s="14" t="n">
        <x:f>IF(H23=0,0,J23/H23)</x:f>
        <x:v>0</x:v>
      </x:c>
      <x:c r="N23" s="14" t="str">
        <x:f>IF(K23=0,"",I23/K23)</x:f>
      </x:c>
    </x:row>
    <x:row r="24" ht="15" hidden="0" customHeight="1">
      <x:c r="A24" s="12" t="str">
        <x:v>Jun 15–Jun 28, 2026</x:v>
      </x:c>
      <x:c r="B24" s="12" t="str">
        <x:v>G2 Discovery</x:v>
      </x:c>
      <x:c r="C24" s="12" t="str">
        <x:v>Black Hero</x:v>
      </x:c>
      <x:c r="D24" s="12" t="str">
        <x:v>BG-G2-BLK</x:v>
      </x:c>
      <x:c r="E24" s="12" t="str">
        <x:v>coffee grinder battery</x:v>
      </x:c>
      <x:c r="F24" s="12" t="str">
        <x:v>Phrase</x:v>
      </x:c>
      <x:c r="G24" s="12" t="n">
        <x:v>71</x:v>
      </x:c>
      <x:c r="H24" s="12" t="n">
        <x:v>2</x:v>
      </x:c>
      <x:c r="I24" s="13" t="n">
        <x:v>3.61</x:v>
      </x:c>
      <x:c r="J24" s="12" t="n">
        <x:v>0</x:v>
      </x:c>
      <x:c r="K24" s="13" t="n">
        <x:v>0</x:v>
      </x:c>
      <x:c r="L24" s="14" t="n">
        <x:f>IF(G24=0,0,H24/G24)</x:f>
        <x:v>0.028169014084507043</x:v>
      </x:c>
      <x:c r="M24" s="14" t="n">
        <x:f>IF(H24=0,0,J24/H24)</x:f>
        <x:v>0</x:v>
      </x:c>
      <x:c r="N24" s="14" t="str">
        <x:f>IF(K24=0,"",I24/K24)</x:f>
      </x:c>
    </x:row>
    <x:row r="25" ht="15" hidden="0" customHeight="1">
      <x:c r="A25" s="12" t="str">
        <x:v>Jun 15–Jun 28, 2026</x:v>
      </x:c>
      <x:c r="B25" s="12" t="str">
        <x:v>G2 Competitor</x:v>
      </x:c>
      <x:c r="C25" s="12" t="str">
        <x:v>Standard Variants</x:v>
      </x:c>
      <x:c r="D25" s="12" t="str">
        <x:v>BG-G2-BLK</x:v>
      </x:c>
      <x:c r="E25" s="12" t="str">
        <x:v>best manual coffee grinder</x:v>
      </x:c>
      <x:c r="F25" s="12" t="str">
        <x:v>Exact</x:v>
      </x:c>
      <x:c r="G25" s="12" t="n">
        <x:v>56</x:v>
      </x:c>
      <x:c r="H25" s="12" t="n">
        <x:v>3</x:v>
      </x:c>
      <x:c r="I25" s="13" t="n">
        <x:v>5.97</x:v>
      </x:c>
      <x:c r="J25" s="12" t="n">
        <x:v>1</x:v>
      </x:c>
      <x:c r="K25" s="13" t="n">
        <x:v>39.99</x:v>
      </x:c>
      <x:c r="L25" s="14" t="n">
        <x:f>IF(G25=0,0,H25/G25)</x:f>
        <x:v>0.05357142857142857</x:v>
      </x:c>
      <x:c r="M25" s="14" t="n">
        <x:f>IF(H25=0,0,J25/H25)</x:f>
        <x:v>0.3333333333333333</x:v>
      </x:c>
      <x:c r="N25" s="14" t="n">
        <x:f>IF(K25=0,"",I25/K25)</x:f>
        <x:v>0.1492873218304576</x:v>
      </x:c>
    </x:row>
    <x:row r="26" ht="15" hidden="0" customHeight="1">
      <x:c r="A26" s="12" t="str">
        <x:v>Jun 15–Jun 28, 2026</x:v>
      </x:c>
      <x:c r="B26" s="12" t="str">
        <x:v>G2 Manual Core</x:v>
      </x:c>
      <x:c r="C26" s="12" t="str">
        <x:v>Black Hero</x:v>
      </x:c>
      <x:c r="D26" s="12" t="str">
        <x:v>BG-G2-BLK</x:v>
      </x:c>
      <x:c r="E26" s="12" t="str">
        <x:v>quiet coffee grinder</x:v>
      </x:c>
      <x:c r="F26" s="12" t="str">
        <x:v>Phrase</x:v>
      </x:c>
      <x:c r="G26" s="12" t="n">
        <x:v>109</x:v>
      </x:c>
      <x:c r="H26" s="12" t="n">
        <x:v>4</x:v>
      </x:c>
      <x:c r="I26" s="13" t="n">
        <x:v>6.3</x:v>
      </x:c>
      <x:c r="J26" s="12" t="n">
        <x:v>0</x:v>
      </x:c>
      <x:c r="K26" s="13" t="n">
        <x:v>0</x:v>
      </x:c>
      <x:c r="L26" s="14" t="n">
        <x:f>IF(G26=0,0,H26/G26)</x:f>
        <x:v>0.03669724770642202</x:v>
      </x:c>
      <x:c r="M26" s="14" t="n">
        <x:f>IF(H26=0,0,J26/H26)</x:f>
        <x:v>0</x:v>
      </x:c>
      <x:c r="N26" s="14" t="str">
        <x:f>IF(K26=0,"",I26/K26)</x:f>
      </x:c>
    </x:row>
    <x:row r="27" ht="15" hidden="0" customHeight="1">
      <x:c r="A27" s="12" t="str">
        <x:v>Jun 15–Jun 28, 2026</x:v>
      </x:c>
      <x:c r="B27" s="12" t="str">
        <x:v>G2 Discovery</x:v>
      </x:c>
      <x:c r="C27" s="12" t="str">
        <x:v>Standard Variants</x:v>
      </x:c>
      <x:c r="D27" s="12" t="str">
        <x:v>BG-G2-BLK</x:v>
      </x:c>
      <x:c r="E27" s="12" t="str">
        <x:v>mini burr grinder</x:v>
      </x:c>
      <x:c r="F27" s="12" t="str">
        <x:v>Exact</x:v>
      </x:c>
      <x:c r="G27" s="12" t="n">
        <x:v>67</x:v>
      </x:c>
      <x:c r="H27" s="12" t="n">
        <x:v>4</x:v>
      </x:c>
      <x:c r="I27" s="13" t="n">
        <x:v>5.45</x:v>
      </x:c>
      <x:c r="J27" s="12" t="n">
        <x:v>1</x:v>
      </x:c>
      <x:c r="K27" s="13" t="n">
        <x:v>39.99</x:v>
      </x:c>
      <x:c r="L27" s="14" t="n">
        <x:f>IF(G27=0,0,H27/G27)</x:f>
        <x:v>0.05970149253731343</x:v>
      </x:c>
      <x:c r="M27" s="14" t="n">
        <x:f>IF(H27=0,0,J27/H27)</x:f>
        <x:v>0.25</x:v>
      </x:c>
      <x:c r="N27" s="14" t="n">
        <x:f>IF(K27=0,"",I27/K27)</x:f>
        <x:v>0.13628407101775444</x:v>
      </x:c>
    </x:row>
    <x:row r="28" ht="15" hidden="0" customHeight="1">
      <x:c r="A28" s="12" t="str">
        <x:v>Jun 15–Jun 28, 2026</x:v>
      </x:c>
      <x:c r="B28" s="12" t="str">
        <x:v>G2 Competitor</x:v>
      </x:c>
      <x:c r="C28" s="12" t="str">
        <x:v>Black Hero</x:v>
      </x:c>
      <x:c r="D28" s="12" t="str">
        <x:v>BG-G2-BLK</x:v>
      </x:c>
      <x:c r="E28" s="12" t="str">
        <x:v>coffee mill travel</x:v>
      </x:c>
      <x:c r="F28" s="12" t="str">
        <x:v>Phrase</x:v>
      </x:c>
      <x:c r="G28" s="12" t="n">
        <x:v>172</x:v>
      </x:c>
      <x:c r="H28" s="12" t="n">
        <x:v>10</x:v>
      </x:c>
      <x:c r="I28" s="13" t="n">
        <x:v>6.64</x:v>
      </x:c>
      <x:c r="J28" s="12" t="n">
        <x:v>1</x:v>
      </x:c>
      <x:c r="K28" s="13" t="n">
        <x:v>39.99</x:v>
      </x:c>
      <x:c r="L28" s="14" t="n">
        <x:f>IF(G28=0,0,H28/G28)</x:f>
        <x:v>0.05813953488372093</x:v>
      </x:c>
      <x:c r="M28" s="14" t="n">
        <x:f>IF(H28=0,0,J28/H28)</x:f>
        <x:v>0.1</x:v>
      </x:c>
      <x:c r="N28" s="14" t="n">
        <x:f>IF(K28=0,"",I28/K28)</x:f>
        <x:v>0.16604151037759438</x:v>
      </x:c>
    </x:row>
    <x:row r="29" ht="15" hidden="0" customHeight="1">
      <x:c r="A29" s="12" t="str">
        <x:v>Jun 15–Jun 28, 2026</x:v>
      </x:c>
      <x:c r="B29" s="12" t="str">
        <x:v>G2 Manual Core</x:v>
      </x:c>
      <x:c r="C29" s="12" t="str">
        <x:v>Standard Variants</x:v>
      </x:c>
      <x:c r="D29" s="12" t="str">
        <x:v>BG-G2-BLK</x:v>
      </x:c>
      <x:c r="E29" s="12" t="str">
        <x:v>ceramic coffee grinder</x:v>
      </x:c>
      <x:c r="F29" s="12" t="str">
        <x:v>Broad</x:v>
      </x:c>
      <x:c r="G29" s="12" t="n">
        <x:v>396</x:v>
      </x:c>
      <x:c r="H29" s="12" t="n">
        <x:v>19</x:v>
      </x:c>
      <x:c r="I29" s="13" t="n">
        <x:v>12.47</x:v>
      </x:c>
      <x:c r="J29" s="12" t="n">
        <x:v>1</x:v>
      </x:c>
      <x:c r="K29" s="13" t="n">
        <x:v>48.99</x:v>
      </x:c>
      <x:c r="L29" s="14" t="n">
        <x:f>IF(G29=0,0,H29/G29)</x:f>
        <x:v>0.047979797979797977</x:v>
      </x:c>
      <x:c r="M29" s="14" t="n">
        <x:f>IF(H29=0,0,J29/H29)</x:f>
        <x:v>0.05263157894736842</x:v>
      </x:c>
      <x:c r="N29" s="14" t="n">
        <x:f>IF(K29=0,"",I29/K29)</x:f>
        <x:v>0.2545417432129006</x:v>
      </x:c>
    </x:row>
    <x:row r="30" ht="15" hidden="0" customHeight="1">
      <x:c r="A30" s="12" t="str">
        <x:v>Jun 15–Jun 28, 2026</x:v>
      </x:c>
      <x:c r="B30" s="12" t="str">
        <x:v>G2 Discovery</x:v>
      </x:c>
      <x:c r="C30" s="12" t="str">
        <x:v>Black Hero</x:v>
      </x:c>
      <x:c r="D30" s="12" t="str">
        <x:v>BG-G2-SLV</x:v>
      </x:c>
      <x:c r="E30" s="12" t="str">
        <x:v>manual coffee grinder</x:v>
      </x:c>
      <x:c r="F30" s="12" t="str">
        <x:v>Exact</x:v>
      </x:c>
      <x:c r="G30" s="12" t="n">
        <x:v>1480</x:v>
      </x:c>
      <x:c r="H30" s="12" t="n">
        <x:v>90</x:v>
      </x:c>
      <x:c r="I30" s="13" t="n">
        <x:v>46.72</x:v>
      </x:c>
      <x:c r="J30" s="12" t="n">
        <x:v>11</x:v>
      </x:c>
      <x:c r="K30" s="13" t="n">
        <x:v>439.89000000000004</x:v>
      </x:c>
      <x:c r="L30" s="14" t="n">
        <x:f>IF(G30=0,0,H30/G30)</x:f>
        <x:v>0.060810810810810814</x:v>
      </x:c>
      <x:c r="M30" s="14" t="n">
        <x:f>IF(H30=0,0,J30/H30)</x:f>
        <x:v>0.12222222222222222</x:v>
      </x:c>
      <x:c r="N30" s="14" t="n">
        <x:f>IF(K30=0,"",I30/K30)</x:f>
        <x:v>0.10620837027438676</x:v>
      </x:c>
    </x:row>
    <x:row r="31" ht="15" hidden="0" customHeight="1">
      <x:c r="A31" s="12" t="str">
        <x:v>Jun 15–Jun 28, 2026</x:v>
      </x:c>
      <x:c r="B31" s="12" t="str">
        <x:v>G2 Competitor</x:v>
      </x:c>
      <x:c r="C31" s="12" t="str">
        <x:v>Standard Variants</x:v>
      </x:c>
      <x:c r="D31" s="12" t="str">
        <x:v>BG-G2-BLK</x:v>
      </x:c>
      <x:c r="E31" s="12" t="str">
        <x:v>portable coffee grinder</x:v>
      </x:c>
      <x:c r="F31" s="12" t="str">
        <x:v>Phrase</x:v>
      </x:c>
      <x:c r="G31" s="12" t="n">
        <x:v>1445</x:v>
      </x:c>
      <x:c r="H31" s="12" t="n">
        <x:v>77</x:v>
      </x:c>
      <x:c r="I31" s="13" t="n">
        <x:v>44.81</x:v>
      </x:c>
      <x:c r="J31" s="12" t="n">
        <x:v>8</x:v>
      </x:c>
      <x:c r="K31" s="13" t="n">
        <x:v>319.92</x:v>
      </x:c>
      <x:c r="L31" s="14" t="n">
        <x:f>IF(G31=0,0,H31/G31)</x:f>
        <x:v>0.05328719723183391</x:v>
      </x:c>
      <x:c r="M31" s="14" t="n">
        <x:f>IF(H31=0,0,J31/H31)</x:f>
        <x:v>0.1038961038961039</x:v>
      </x:c>
      <x:c r="N31" s="14" t="n">
        <x:f>IF(K31=0,"",I31/K31)</x:f>
        <x:v>0.14006626656664167</x:v>
      </x:c>
    </x:row>
    <x:row r="32" ht="15" hidden="0" customHeight="1">
      <x:c r="A32" s="12" t="str">
        <x:v>Jun 15–Jun 28, 2026</x:v>
      </x:c>
      <x:c r="B32" s="12" t="str">
        <x:v>G2 Manual Core</x:v>
      </x:c>
      <x:c r="C32" s="12" t="str">
        <x:v>Black Hero</x:v>
      </x:c>
      <x:c r="D32" s="12" t="str">
        <x:v>BG-G2-BLK</x:v>
      </x:c>
      <x:c r="E32" s="12" t="str">
        <x:v>travel coffee grinder</x:v>
      </x:c>
      <x:c r="F32" s="12" t="str">
        <x:v>Exact</x:v>
      </x:c>
      <x:c r="G32" s="12" t="n">
        <x:v>718</x:v>
      </x:c>
      <x:c r="H32" s="12" t="n">
        <x:v>41</x:v>
      </x:c>
      <x:c r="I32" s="13" t="n">
        <x:v>24.65</x:v>
      </x:c>
      <x:c r="J32" s="12" t="n">
        <x:v>4</x:v>
      </x:c>
      <x:c r="K32" s="13" t="n">
        <x:v>159.96</x:v>
      </x:c>
      <x:c r="L32" s="14" t="n">
        <x:f>IF(G32=0,0,H32/G32)</x:f>
        <x:v>0.057103064066852366</x:v>
      </x:c>
      <x:c r="M32" s="14" t="n">
        <x:f>IF(H32=0,0,J32/H32)</x:f>
        <x:v>0.0975609756097561</x:v>
      </x:c>
      <x:c r="N32" s="14" t="n">
        <x:f>IF(K32=0,"",I32/K32)</x:f>
        <x:v>0.15410102525631406</x:v>
      </x:c>
    </x:row>
    <x:row r="33" ht="15" hidden="0" customHeight="1">
      <x:c r="A33" s="12" t="str">
        <x:v>Jun 15–Jun 28, 2026</x:v>
      </x:c>
      <x:c r="B33" s="12" t="str">
        <x:v>G2 Discovery</x:v>
      </x:c>
      <x:c r="C33" s="12" t="str">
        <x:v>Standard Variants</x:v>
      </x:c>
      <x:c r="D33" s="12" t="str">
        <x:v>BG-G2-BLK</x:v>
      </x:c>
      <x:c r="E33" s="12" t="str">
        <x:v>hand grinder for pour over</x:v>
      </x:c>
      <x:c r="F33" s="12" t="str">
        <x:v>Broad</x:v>
      </x:c>
      <x:c r="G33" s="12" t="n">
        <x:v>722</x:v>
      </x:c>
      <x:c r="H33" s="12" t="n">
        <x:v>44</x:v>
      </x:c>
      <x:c r="I33" s="13" t="n">
        <x:v>26.98</x:v>
      </x:c>
      <x:c r="J33" s="12" t="n">
        <x:v>5</x:v>
      </x:c>
      <x:c r="K33" s="13" t="n">
        <x:v>199.95000000000002</x:v>
      </x:c>
      <x:c r="L33" s="14" t="n">
        <x:f>IF(G33=0,0,H33/G33)</x:f>
        <x:v>0.060941828254847646</x:v>
      </x:c>
      <x:c r="M33" s="14" t="n">
        <x:f>IF(H33=0,0,J33/H33)</x:f>
        <x:v>0.11363636363636363</x:v>
      </x:c>
      <x:c r="N33" s="14" t="n">
        <x:f>IF(K33=0,"",I33/K33)</x:f>
        <x:v>0.13493373343335832</x:v>
      </x:c>
    </x:row>
    <x:row r="34" ht="15" hidden="0" customHeight="1">
      <x:c r="A34" s="12" t="str">
        <x:v>Jun 15–Jun 28, 2026</x:v>
      </x:c>
      <x:c r="B34" s="12" t="str">
        <x:v>G2 Competitor</x:v>
      </x:c>
      <x:c r="C34" s="12" t="str">
        <x:v>Black Hero</x:v>
      </x:c>
      <x:c r="D34" s="12" t="str">
        <x:v>BG-G2-BLK</x:v>
      </x:c>
      <x:c r="E34" s="12" t="str">
        <x:v>coffee grinder camping</x:v>
      </x:c>
      <x:c r="F34" s="12" t="str">
        <x:v>Phrase</x:v>
      </x:c>
      <x:c r="G34" s="12" t="n">
        <x:v>388</x:v>
      </x:c>
      <x:c r="H34" s="12" t="n">
        <x:v>21</x:v>
      </x:c>
      <x:c r="I34" s="13" t="n">
        <x:v>12.77</x:v>
      </x:c>
      <x:c r="J34" s="12" t="n">
        <x:v>2</x:v>
      </x:c>
      <x:c r="K34" s="13" t="n">
        <x:v>79.98</x:v>
      </x:c>
      <x:c r="L34" s="14" t="n">
        <x:f>IF(G34=0,0,H34/G34)</x:f>
        <x:v>0.05412371134020619</x:v>
      </x:c>
      <x:c r="M34" s="14" t="n">
        <x:f>IF(H34=0,0,J34/H34)</x:f>
        <x:v>0.09523809523809523</x:v>
      </x:c>
      <x:c r="N34" s="14" t="n">
        <x:f>IF(K34=0,"",I34/K34)</x:f>
        <x:v>0.15966491622905726</x:v>
      </x:c>
    </x:row>
    <x:row r="35" ht="15" hidden="0" customHeight="1">
      <x:c r="A35" s="12" t="str">
        <x:v>Jun 15–Jun 28, 2026</x:v>
      </x:c>
      <x:c r="B35" s="12" t="str">
        <x:v>G2 Manual Core</x:v>
      </x:c>
      <x:c r="C35" s="12" t="str">
        <x:v>Standard Variants</x:v>
      </x:c>
      <x:c r="D35" s="12" t="str">
        <x:v>BG-G2-BLK</x:v>
      </x:c>
      <x:c r="E35" s="12" t="str">
        <x:v>espresso hand grinder</x:v>
      </x:c>
      <x:c r="F35" s="12" t="str">
        <x:v>Broad</x:v>
      </x:c>
      <x:c r="G35" s="12" t="n">
        <x:v>1125</x:v>
      </x:c>
      <x:c r="H35" s="12" t="n">
        <x:v>61</x:v>
      </x:c>
      <x:c r="I35" s="13" t="n">
        <x:v>67.7</x:v>
      </x:c>
      <x:c r="J35" s="12" t="n">
        <x:v>2</x:v>
      </x:c>
      <x:c r="K35" s="13" t="n">
        <x:v>79.98</x:v>
      </x:c>
      <x:c r="L35" s="14" t="n">
        <x:f>IF(G35=0,0,H35/G35)</x:f>
        <x:v>0.05422222222222222</x:v>
      </x:c>
      <x:c r="M35" s="14" t="n">
        <x:f>IF(H35=0,0,J35/H35)</x:f>
        <x:v>0.03278688524590164</x:v>
      </x:c>
      <x:c r="N35" s="14" t="n">
        <x:f>IF(K35=0,"",I35/K35)</x:f>
        <x:v>0.846461615403851</x:v>
      </x:c>
    </x:row>
    <x:row r="36" ht="15" hidden="0" customHeight="1">
      <x:c r="A36" s="12" t="str">
        <x:v>Jun 15–Jun 28, 2026</x:v>
      </x:c>
      <x:c r="B36" s="12" t="str">
        <x:v>G2 Discovery</x:v>
      </x:c>
      <x:c r="C36" s="12" t="str">
        <x:v>Black Hero</x:v>
      </x:c>
      <x:c r="D36" s="12" t="str">
        <x:v>BG-G2-BLK</x:v>
      </x:c>
      <x:c r="E36" s="12" t="str">
        <x:v>electric coffee grinder</x:v>
      </x:c>
      <x:c r="F36" s="12" t="str">
        <x:v>Broad</x:v>
      </x:c>
      <x:c r="G36" s="12" t="n">
        <x:v>1628</x:v>
      </x:c>
      <x:c r="H36" s="12" t="n">
        <x:v>67</x:v>
      </x:c>
      <x:c r="I36" s="13" t="n">
        <x:v>62.53</x:v>
      </x:c>
      <x:c r="J36" s="12" t="n">
        <x:v>0</x:v>
      </x:c>
      <x:c r="K36" s="13" t="n">
        <x:v>0</x:v>
      </x:c>
      <x:c r="L36" s="14" t="n">
        <x:f>IF(G36=0,0,H36/G36)</x:f>
        <x:v>0.041154791154791155</x:v>
      </x:c>
      <x:c r="M36" s="14" t="n">
        <x:f>IF(H36=0,0,J36/H36)</x:f>
        <x:v>0</x:v>
      </x:c>
      <x:c r="N36" s="14" t="str">
        <x:f>IF(K36=0,"",I36/K36)</x:f>
      </x:c>
    </x:row>
    <x:row r="37" ht="15" hidden="0" customHeight="1">
      <x:c r="A37" s="12" t="str">
        <x:v>Jun 15–Jun 28, 2026</x:v>
      </x:c>
      <x:c r="B37" s="12" t="str">
        <x:v>G2 Competitor</x:v>
      </x:c>
      <x:c r="C37" s="12" t="str">
        <x:v>Standard Variants</x:v>
      </x:c>
      <x:c r="D37" s="12" t="str">
        <x:v>BG-G2-SLV</x:v>
      </x:c>
      <x:c r="E37" s="12" t="str">
        <x:v>spice grinder</x:v>
      </x:c>
      <x:c r="F37" s="12" t="str">
        <x:v>Broad</x:v>
      </x:c>
      <x:c r="G37" s="12" t="n">
        <x:v>955</x:v>
      </x:c>
      <x:c r="H37" s="12" t="n">
        <x:v>37</x:v>
      </x:c>
      <x:c r="I37" s="13" t="n">
        <x:v>33.58</x:v>
      </x:c>
      <x:c r="J37" s="12" t="n">
        <x:v>0</x:v>
      </x:c>
      <x:c r="K37" s="13" t="n">
        <x:v>0</x:v>
      </x:c>
      <x:c r="L37" s="14" t="n">
        <x:f>IF(G37=0,0,H37/G37)</x:f>
        <x:v>0.0387434554973822</x:v>
      </x:c>
      <x:c r="M37" s="14" t="n">
        <x:f>IF(H37=0,0,J37/H37)</x:f>
        <x:v>0</x:v>
      </x:c>
      <x:c r="N37" s="14" t="str">
        <x:f>IF(K37=0,"",I37/K37)</x:f>
      </x:c>
    </x:row>
    <x:row r="38" ht="15" hidden="0" customHeight="1">
      <x:c r="A38" s="12" t="str">
        <x:v>Jun 15–Jun 28, 2026</x:v>
      </x:c>
      <x:c r="B38" s="12" t="str">
        <x:v>G2 Manual Core</x:v>
      </x:c>
      <x:c r="C38" s="12" t="str">
        <x:v>Black Hero</x:v>
      </x:c>
      <x:c r="D38" s="12" t="str">
        <x:v>BG-G2-BLK</x:v>
      </x:c>
      <x:c r="E38" s="12" t="str">
        <x:v>coffee grinder battery</x:v>
      </x:c>
      <x:c r="F38" s="12" t="str">
        <x:v>Phrase</x:v>
      </x:c>
      <x:c r="G38" s="12" t="n">
        <x:v>59</x:v>
      </x:c>
      <x:c r="H38" s="12" t="n">
        <x:v>1</x:v>
      </x:c>
      <x:c r="I38" s="13" t="n">
        <x:v>3.02</x:v>
      </x:c>
      <x:c r="J38" s="12" t="n">
        <x:v>0</x:v>
      </x:c>
      <x:c r="K38" s="13" t="n">
        <x:v>0</x:v>
      </x:c>
      <x:c r="L38" s="14" t="n">
        <x:f>IF(G38=0,0,H38/G38)</x:f>
        <x:v>0.01694915254237288</x:v>
      </x:c>
      <x:c r="M38" s="14" t="n">
        <x:f>IF(H38=0,0,J38/H38)</x:f>
        <x:v>0</x:v>
      </x:c>
      <x:c r="N38" s="14" t="str">
        <x:f>IF(K38=0,"",I38/K38)</x:f>
      </x:c>
    </x:row>
    <x:row r="39" ht="15" hidden="0" customHeight="1">
      <x:c r="A39" s="12" t="str">
        <x:v>Jun 15–Jun 28, 2026</x:v>
      </x:c>
      <x:c r="B39" s="12" t="str">
        <x:v>G2 Discovery</x:v>
      </x:c>
      <x:c r="C39" s="12" t="str">
        <x:v>Standard Variants</x:v>
      </x:c>
      <x:c r="D39" s="12" t="str">
        <x:v>BG-G2-BLK</x:v>
      </x:c>
      <x:c r="E39" s="12" t="str">
        <x:v>best manual coffee grinder</x:v>
      </x:c>
      <x:c r="F39" s="12" t="str">
        <x:v>Exact</x:v>
      </x:c>
      <x:c r="G39" s="12" t="n">
        <x:v>48</x:v>
      </x:c>
      <x:c r="H39" s="12" t="n">
        <x:v>3</x:v>
      </x:c>
      <x:c r="I39" s="13" t="n">
        <x:v>5.16</x:v>
      </x:c>
      <x:c r="J39" s="12" t="n">
        <x:v>1</x:v>
      </x:c>
      <x:c r="K39" s="13" t="n">
        <x:v>39.99</x:v>
      </x:c>
      <x:c r="L39" s="14" t="n">
        <x:f>IF(G39=0,0,H39/G39)</x:f>
        <x:v>0.0625</x:v>
      </x:c>
      <x:c r="M39" s="14" t="n">
        <x:f>IF(H39=0,0,J39/H39)</x:f>
        <x:v>0.3333333333333333</x:v>
      </x:c>
      <x:c r="N39" s="14" t="n">
        <x:f>IF(K39=0,"",I39/K39)</x:f>
        <x:v>0.12903225806451613</x:v>
      </x:c>
    </x:row>
    <x:row r="40" ht="15" hidden="0" customHeight="1">
      <x:c r="A40" s="12" t="str">
        <x:v>Jun 15–Jun 28, 2026</x:v>
      </x:c>
      <x:c r="B40" s="12" t="str">
        <x:v>G2 Competitor</x:v>
      </x:c>
      <x:c r="C40" s="12" t="str">
        <x:v>Black Hero</x:v>
      </x:c>
      <x:c r="D40" s="12" t="str">
        <x:v>BG-G2-BLK</x:v>
      </x:c>
      <x:c r="E40" s="12" t="str">
        <x:v>quiet coffee grinder</x:v>
      </x:c>
      <x:c r="F40" s="12" t="str">
        <x:v>Phrase</x:v>
      </x:c>
      <x:c r="G40" s="12" t="n">
        <x:v>138</x:v>
      </x:c>
      <x:c r="H40" s="12" t="n">
        <x:v>5</x:v>
      </x:c>
      <x:c r="I40" s="13" t="n">
        <x:v>7.95</x:v>
      </x:c>
      <x:c r="J40" s="12" t="n">
        <x:v>0</x:v>
      </x:c>
      <x:c r="K40" s="13" t="n">
        <x:v>0</x:v>
      </x:c>
      <x:c r="L40" s="14" t="n">
        <x:f>IF(G40=0,0,H40/G40)</x:f>
        <x:v>0.036231884057971016</x:v>
      </x:c>
      <x:c r="M40" s="14" t="n">
        <x:f>IF(H40=0,0,J40/H40)</x:f>
        <x:v>0</x:v>
      </x:c>
      <x:c r="N40" s="14" t="str">
        <x:f>IF(K40=0,"",I40/K40)</x:f>
      </x:c>
    </x:row>
    <x:row r="41" ht="15" hidden="0" customHeight="1">
      <x:c r="A41" s="12" t="str">
        <x:v>Jun 15–Jun 28, 2026</x:v>
      </x:c>
      <x:c r="B41" s="12" t="str">
        <x:v>G2 Manual Core</x:v>
      </x:c>
      <x:c r="C41" s="12" t="str">
        <x:v>Standard Variants</x:v>
      </x:c>
      <x:c r="D41" s="12" t="str">
        <x:v>BG-G2-BLK</x:v>
      </x:c>
      <x:c r="E41" s="12" t="str">
        <x:v>mini burr grinder</x:v>
      </x:c>
      <x:c r="F41" s="12" t="str">
        <x:v>Exact</x:v>
      </x:c>
      <x:c r="G41" s="12" t="n">
        <x:v>57</x:v>
      </x:c>
      <x:c r="H41" s="12" t="n">
        <x:v>3</x:v>
      </x:c>
      <x:c r="I41" s="13" t="n">
        <x:v>4.7</x:v>
      </x:c>
      <x:c r="J41" s="12" t="n">
        <x:v>1</x:v>
      </x:c>
      <x:c r="K41" s="13" t="n">
        <x:v>39.99</x:v>
      </x:c>
      <x:c r="L41" s="14" t="n">
        <x:f>IF(G41=0,0,H41/G41)</x:f>
        <x:v>0.05263157894736842</x:v>
      </x:c>
      <x:c r="M41" s="14" t="n">
        <x:f>IF(H41=0,0,J41/H41)</x:f>
        <x:v>0.3333333333333333</x:v>
      </x:c>
      <x:c r="N41" s="14" t="n">
        <x:f>IF(K41=0,"",I41/K41)</x:f>
        <x:v>0.1175293823455864</x:v>
      </x:c>
    </x:row>
    <x:row r="42" ht="15" hidden="0" customHeight="1">
      <x:c r="A42" s="12" t="str">
        <x:v>Jun 15–Jun 28, 2026</x:v>
      </x:c>
      <x:c r="B42" s="12" t="str">
        <x:v>G2 Discovery</x:v>
      </x:c>
      <x:c r="C42" s="12" t="str">
        <x:v>Black Hero</x:v>
      </x:c>
      <x:c r="D42" s="12" t="str">
        <x:v>BG-G2-BLK</x:v>
      </x:c>
      <x:c r="E42" s="12" t="str">
        <x:v>coffee mill travel</x:v>
      </x:c>
      <x:c r="F42" s="12" t="str">
        <x:v>Phrase</x:v>
      </x:c>
      <x:c r="G42" s="12" t="n">
        <x:v>218</x:v>
      </x:c>
      <x:c r="H42" s="12" t="n">
        <x:v>12</x:v>
      </x:c>
      <x:c r="I42" s="13" t="n">
        <x:v>8.42</x:v>
      </x:c>
      <x:c r="J42" s="12" t="n">
        <x:v>1</x:v>
      </x:c>
      <x:c r="K42" s="13" t="n">
        <x:v>39.99</x:v>
      </x:c>
      <x:c r="L42" s="14" t="n">
        <x:f>IF(G42=0,0,H42/G42)</x:f>
        <x:v>0.05504587155963303</x:v>
      </x:c>
      <x:c r="M42" s="14" t="n">
        <x:f>IF(H42=0,0,J42/H42)</x:f>
        <x:v>0.08333333333333333</x:v>
      </x:c>
      <x:c r="N42" s="14" t="n">
        <x:f>IF(K42=0,"",I42/K42)</x:f>
        <x:v>0.21055263815953987</x:v>
      </x:c>
    </x:row>
    <x:row r="43" ht="15" hidden="0" customHeight="1">
      <x:c r="A43" s="12" t="str">
        <x:v>Jun 15–Jun 28, 2026</x:v>
      </x:c>
      <x:c r="B43" s="12" t="str">
        <x:v>G2 Competitor</x:v>
      </x:c>
      <x:c r="C43" s="12" t="str">
        <x:v>Standard Variants</x:v>
      </x:c>
      <x:c r="D43" s="12" t="str">
        <x:v>BG-G2-BLK</x:v>
      </x:c>
      <x:c r="E43" s="12" t="str">
        <x:v>ceramic coffee grinder</x:v>
      </x:c>
      <x:c r="F43" s="12" t="str">
        <x:v>Broad</x:v>
      </x:c>
      <x:c r="G43" s="12" t="n">
        <x:v>340</x:v>
      </x:c>
      <x:c r="H43" s="12" t="n">
        <x:v>16</x:v>
      </x:c>
      <x:c r="I43" s="13" t="n">
        <x:v>10.71</x:v>
      </x:c>
      <x:c r="J43" s="12" t="n">
        <x:v>1</x:v>
      </x:c>
      <x:c r="K43" s="13" t="n">
        <x:v>39.99</x:v>
      </x:c>
      <x:c r="L43" s="14" t="n">
        <x:f>IF(G43=0,0,H43/G43)</x:f>
        <x:v>0.047058823529411764</x:v>
      </x:c>
      <x:c r="M43" s="14" t="n">
        <x:f>IF(H43=0,0,J43/H43)</x:f>
        <x:v>0.0625</x:v>
      </x:c>
      <x:c r="N43" s="14" t="n">
        <x:f>IF(K43=0,"",I43/K43)</x:f>
        <x:v>0.26781695423855967</x:v>
      </x:c>
    </x:row>
    <x:row r="44" ht="15" hidden="0" customHeight="1">
      <x:c r="A44" s="12" t="str">
        <x:v>2026/06/29-2026/07/12</x:v>
      </x:c>
      <x:c r="B44" s="12" t="str">
        <x:v>G2 Manual Core</x:v>
      </x:c>
      <x:c r="C44" s="12" t="str">
        <x:v>Black Hero</x:v>
      </x:c>
      <x:c r="D44" s="12" t="str">
        <x:v>BG-G2-SLV</x:v>
      </x:c>
      <x:c r="E44" s="12" t="str">
        <x:v>manual coffee grinder</x:v>
      </x:c>
      <x:c r="F44" s="12" t="str">
        <x:v>Exact</x:v>
      </x:c>
      <x:c r="G44" s="12" t="n">
        <x:v>1887</x:v>
      </x:c>
      <x:c r="H44" s="12" t="n">
        <x:v>114</x:v>
      </x:c>
      <x:c r="I44" s="13" t="n">
        <x:v>59.57</x:v>
      </x:c>
      <x:c r="J44" s="12" t="n">
        <x:v>11</x:v>
      </x:c>
      <x:c r="K44" s="13" t="n">
        <x:v>439.89000000000004</x:v>
      </x:c>
      <x:c r="L44" s="14" t="n">
        <x:f>IF(G44=0,0,H44/G44)</x:f>
        <x:v>0.06041335453100159</x:v>
      </x:c>
      <x:c r="M44" s="14" t="n">
        <x:f>IF(H44=0,0,J44/H44)</x:f>
        <x:v>0.09649122807017543</x:v>
      </x:c>
      <x:c r="N44" s="14" t="n">
        <x:f>IF(K44=0,"",I44/K44)</x:f>
        <x:v>0.13542021869103638</x:v>
      </x:c>
    </x:row>
    <x:row r="45" ht="15" hidden="0" customHeight="1">
      <x:c r="A45" s="12" t="str">
        <x:v>2026/06/29-2026/07/12</x:v>
      </x:c>
      <x:c r="B45" s="12" t="str">
        <x:v>G2 Discovery</x:v>
      </x:c>
      <x:c r="C45" s="12" t="str">
        <x:v>Standard Variants</x:v>
      </x:c>
      <x:c r="D45" s="12" t="str">
        <x:v>BG-G2-BLK</x:v>
      </x:c>
      <x:c r="E45" s="12" t="str">
        <x:v>portable coffee grinder</x:v>
      </x:c>
      <x:c r="F45" s="12" t="str">
        <x:v>Phrase</x:v>
      </x:c>
      <x:c r="G45" s="12" t="n">
        <x:v>1237</x:v>
      </x:c>
      <x:c r="H45" s="12" t="n">
        <x:v>66</x:v>
      </x:c>
      <x:c r="I45" s="13" t="n">
        <x:v>38.35</x:v>
      </x:c>
      <x:c r="J45" s="12" t="n">
        <x:v>7</x:v>
      </x:c>
      <x:c r="K45" s="13" t="n">
        <x:v>279.93</x:v>
      </x:c>
      <x:c r="L45" s="14" t="n">
        <x:f>IF(G45=0,0,H45/G45)</x:f>
        <x:v>0.05335489086499596</x:v>
      </x:c>
      <x:c r="M45" s="14" t="n">
        <x:f>IF(H45=0,0,J45/H45)</x:f>
        <x:v>0.10606060606060606</x:v>
      </x:c>
      <x:c r="N45" s="14" t="n">
        <x:f>IF(K45=0,"",I45/K45)</x:f>
        <x:v>0.13699853534812276</x:v>
      </x:c>
    </x:row>
    <x:row r="46" ht="15" hidden="0" customHeight="1">
      <x:c r="A46" s="12" t="str">
        <x:v>2026/06/29-2026/07/12</x:v>
      </x:c>
      <x:c r="B46" s="12" t="str">
        <x:v>G2 Competitor</x:v>
      </x:c>
      <x:c r="C46" s="12" t="str">
        <x:v>Black Hero</x:v>
      </x:c>
      <x:c r="D46" s="12" t="str">
        <x:v>BG-G2-BLK</x:v>
      </x:c>
      <x:c r="E46" s="12" t="str">
        <x:v>travel coffee grinder</x:v>
      </x:c>
      <x:c r="F46" s="12" t="str">
        <x:v>Exact</x:v>
      </x:c>
      <x:c r="G46" s="12" t="n">
        <x:v>920</x:v>
      </x:c>
      <x:c r="H46" s="12" t="n">
        <x:v>53</x:v>
      </x:c>
      <x:c r="I46" s="13" t="n">
        <x:v>31.6</x:v>
      </x:c>
      <x:c r="J46" s="12" t="n">
        <x:v>5</x:v>
      </x:c>
      <x:c r="K46" s="13" t="n">
        <x:v>199.95000000000002</x:v>
      </x:c>
      <x:c r="L46" s="14" t="n">
        <x:f>IF(G46=0,0,H46/G46)</x:f>
        <x:v>0.057608695652173914</x:v>
      </x:c>
      <x:c r="M46" s="14" t="n">
        <x:f>IF(H46=0,0,J46/H46)</x:f>
        <x:v>0.09433962264150944</x:v>
      </x:c>
      <x:c r="N46" s="14" t="n">
        <x:f>IF(K46=0,"",I46/K46)</x:f>
        <x:v>0.15803950987746937</x:v>
      </x:c>
    </x:row>
    <x:row r="47" ht="15" hidden="0" customHeight="1">
      <x:c r="A47" s="12" t="str">
        <x:v>2026/06/29-2026/07/12</x:v>
      </x:c>
      <x:c r="B47" s="12" t="str">
        <x:v>G2 Manual Core</x:v>
      </x:c>
      <x:c r="C47" s="12" t="str">
        <x:v>Standard Variants</x:v>
      </x:c>
      <x:c r="D47" s="12" t="str">
        <x:v>BG-G2-BLK</x:v>
      </x:c>
      <x:c r="E47" s="12" t="str">
        <x:v>hand grinder for pour over</x:v>
      </x:c>
      <x:c r="F47" s="12" t="str">
        <x:v>Broad</x:v>
      </x:c>
      <x:c r="G47" s="12" t="n">
        <x:v>616</x:v>
      </x:c>
      <x:c r="H47" s="12" t="n">
        <x:v>37</x:v>
      </x:c>
      <x:c r="I47" s="13" t="n">
        <x:v>23</x:v>
      </x:c>
      <x:c r="J47" s="12" t="n">
        <x:v>4</x:v>
      </x:c>
      <x:c r="K47" s="13" t="n">
        <x:v>195.96</x:v>
      </x:c>
      <x:c r="L47" s="14" t="n">
        <x:f>IF(G47=0,0,H47/G47)</x:f>
        <x:v>0.060064935064935064</x:v>
      </x:c>
      <x:c r="M47" s="14" t="n">
        <x:f>IF(H47=0,0,J47/H47)</x:f>
        <x:v>0.10810810810810811</x:v>
      </x:c>
      <x:c r="N47" s="14" t="n">
        <x:f>IF(K47=0,"",I47/K47)</x:f>
        <x:v>0.11737089201877934</x:v>
      </x:c>
    </x:row>
    <x:row r="48" ht="15" hidden="0" customHeight="1">
      <x:c r="A48" s="12" t="str">
        <x:v>2026/06/29-2026/07/12</x:v>
      </x:c>
      <x:c r="B48" s="12" t="str">
        <x:v>G2 Discovery</x:v>
      </x:c>
      <x:c r="C48" s="12" t="str">
        <x:v>Black Hero</x:v>
      </x:c>
      <x:c r="D48" s="12" t="str">
        <x:v>BG-G2-BLK</x:v>
      </x:c>
      <x:c r="E48" s="12" t="str">
        <x:v>coffee grinder camping</x:v>
      </x:c>
      <x:c r="F48" s="12" t="str">
        <x:v>Phrase</x:v>
      </x:c>
      <x:c r="G48" s="12" t="n">
        <x:v>500</x:v>
      </x:c>
      <x:c r="H48" s="12" t="n">
        <x:v>26</x:v>
      </x:c>
      <x:c r="I48" s="13" t="n">
        <x:v>16.46</x:v>
      </x:c>
      <x:c r="J48" s="12" t="n">
        <x:v>3</x:v>
      </x:c>
      <x:c r="K48" s="13" t="n">
        <x:v>119.97</x:v>
      </x:c>
      <x:c r="L48" s="14" t="n">
        <x:f>IF(G48=0,0,H48/G48)</x:f>
        <x:v>0.052</x:v>
      </x:c>
      <x:c r="M48" s="14" t="n">
        <x:f>IF(H48=0,0,J48/H48)</x:f>
        <x:v>0.11538461538461539</x:v>
      </x:c>
      <x:c r="N48" s="14" t="n">
        <x:f>IF(K48=0,"",I48/K48)</x:f>
        <x:v>0.13720096690839378</x:v>
      </x:c>
    </x:row>
    <x:row r="49" ht="15" hidden="0" customHeight="1">
      <x:c r="A49" s="12" t="str">
        <x:v>2026/06/29-2026/07/12</x:v>
      </x:c>
      <x:c r="B49" s="12" t="str">
        <x:v>G2 Competitor</x:v>
      </x:c>
      <x:c r="C49" s="12" t="str">
        <x:v>Standard Variants</x:v>
      </x:c>
      <x:c r="D49" s="12" t="str">
        <x:v>BG-G2-BLK</x:v>
      </x:c>
      <x:c r="E49" s="12" t="str">
        <x:v>espresso hand grinder</x:v>
      </x:c>
      <x:c r="F49" s="12" t="str">
        <x:v>Broad</x:v>
      </x:c>
      <x:c r="G49" s="12" t="n">
        <x:v>956</x:v>
      </x:c>
      <x:c r="H49" s="12" t="n">
        <x:v>52</x:v>
      </x:c>
      <x:c r="I49" s="13" t="n">
        <x:v>57.51</x:v>
      </x:c>
      <x:c r="J49" s="12" t="n">
        <x:v>2</x:v>
      </x:c>
      <x:c r="K49" s="13" t="n">
        <x:v>79.98</x:v>
      </x:c>
      <x:c r="L49" s="14" t="n">
        <x:f>IF(G49=0,0,H49/G49)</x:f>
        <x:v>0.05439330543933055</x:v>
      </x:c>
      <x:c r="M49" s="14" t="n">
        <x:f>IF(H49=0,0,J49/H49)</x:f>
        <x:v>0.038461538461538464</x:v>
      </x:c>
      <x:c r="N49" s="14" t="n">
        <x:f>IF(K49=0,"",I49/K49)</x:f>
        <x:v>0.7190547636909227</x:v>
      </x:c>
    </x:row>
    <x:row r="50" ht="15" hidden="0" customHeight="1">
      <x:c r="A50" s="12" t="str">
        <x:v>2026/06/29-2026/07/12</x:v>
      </x:c>
      <x:c r="B50" s="12" t="str">
        <x:v>G2 Manual Core</x:v>
      </x:c>
      <x:c r="C50" s="12" t="str">
        <x:v>Black Hero</x:v>
      </x:c>
      <x:c r="D50" s="12" t="str">
        <x:v>BG-G2-BLK</x:v>
      </x:c>
      <x:c r="E50" s="12" t="str">
        <x:v>electric coffee grinder</x:v>
      </x:c>
      <x:c r="F50" s="12" t="str">
        <x:v>Broad</x:v>
      </x:c>
      <x:c r="G50" s="12" t="n">
        <x:v>2112</x:v>
      </x:c>
      <x:c r="H50" s="12" t="n">
        <x:v>87</x:v>
      </x:c>
      <x:c r="I50" s="13" t="n">
        <x:v>81.12</x:v>
      </x:c>
      <x:c r="J50" s="12" t="n">
        <x:v>0</x:v>
      </x:c>
      <x:c r="K50" s="13" t="n">
        <x:v>0</x:v>
      </x:c>
      <x:c r="L50" s="14" t="n">
        <x:f>IF(G50=0,0,H50/G50)</x:f>
        <x:v>0.041193181818181816</x:v>
      </x:c>
      <x:c r="M50" s="14" t="n">
        <x:f>IF(H50=0,0,J50/H50)</x:f>
        <x:v>0</x:v>
      </x:c>
      <x:c r="N50" s="14" t="str">
        <x:f>IF(K50=0,"",I50/K50)</x:f>
      </x:c>
    </x:row>
    <x:row r="51" ht="15" hidden="0" customHeight="1">
      <x:c r="A51" s="12" t="str">
        <x:v>2026/06/29-2026/07/12</x:v>
      </x:c>
      <x:c r="B51" s="12" t="str">
        <x:v>G2 Discovery</x:v>
      </x:c>
      <x:c r="C51" s="12" t="str">
        <x:v>Standard Variants</x:v>
      </x:c>
      <x:c r="D51" s="12" t="str">
        <x:v>BG-G2-SLV</x:v>
      </x:c>
      <x:c r="E51" s="12" t="str">
        <x:v>spice grinder</x:v>
      </x:c>
      <x:c r="F51" s="12" t="str">
        <x:v>Broad</x:v>
      </x:c>
      <x:c r="G51" s="12" t="n">
        <x:v>809</x:v>
      </x:c>
      <x:c r="H51" s="12" t="n">
        <x:v>32</x:v>
      </x:c>
      <x:c r="I51" s="13" t="n">
        <x:v>28.41</x:v>
      </x:c>
      <x:c r="J51" s="12" t="n">
        <x:v>0</x:v>
      </x:c>
      <x:c r="K51" s="13" t="n">
        <x:v>0</x:v>
      </x:c>
      <x:c r="L51" s="14" t="n">
        <x:f>IF(G51=0,0,H51/G51)</x:f>
        <x:v>0.03955500618046971</x:v>
      </x:c>
      <x:c r="M51" s="14" t="n">
        <x:f>IF(H51=0,0,J51/H51)</x:f>
        <x:v>0</x:v>
      </x:c>
      <x:c r="N51" s="14" t="str">
        <x:f>IF(K51=0,"",I51/K51)</x:f>
      </x:c>
    </x:row>
    <x:row r="52" ht="15" hidden="0" customHeight="1">
      <x:c r="A52" s="12" t="str">
        <x:v>2026/06/29-2026/07/12</x:v>
      </x:c>
      <x:c r="B52" s="12" t="str">
        <x:v>G2 Competitor</x:v>
      </x:c>
      <x:c r="C52" s="12" t="str">
        <x:v>Black Hero</x:v>
      </x:c>
      <x:c r="D52" s="12" t="str">
        <x:v>BG-G2-BLK</x:v>
      </x:c>
      <x:c r="E52" s="12" t="str">
        <x:v>coffee grinder battery</x:v>
      </x:c>
      <x:c r="F52" s="12" t="str">
        <x:v>Phrase</x:v>
      </x:c>
      <x:c r="G52" s="12" t="n">
        <x:v>77</x:v>
      </x:c>
      <x:c r="H52" s="12" t="n">
        <x:v>2</x:v>
      </x:c>
      <x:c r="I52" s="13" t="n">
        <x:v>3.95</x:v>
      </x:c>
      <x:c r="J52" s="12" t="n">
        <x:v>0</x:v>
      </x:c>
      <x:c r="K52" s="13" t="n">
        <x:v>0</x:v>
      </x:c>
      <x:c r="L52" s="14" t="n">
        <x:f>IF(G52=0,0,H52/G52)</x:f>
        <x:v>0.025974025974025976</x:v>
      </x:c>
      <x:c r="M52" s="14" t="n">
        <x:f>IF(H52=0,0,J52/H52)</x:f>
        <x:v>0</x:v>
      </x:c>
      <x:c r="N52" s="14" t="str">
        <x:f>IF(K52=0,"",I52/K52)</x:f>
      </x:c>
    </x:row>
    <x:row r="53" ht="15" hidden="0" customHeight="1">
      <x:c r="A53" s="12" t="str">
        <x:v>2026/06/29-2026/07/12</x:v>
      </x:c>
      <x:c r="B53" s="12" t="str">
        <x:v>G2 Manual Core</x:v>
      </x:c>
      <x:c r="C53" s="12" t="str">
        <x:v>Standard Variants</x:v>
      </x:c>
      <x:c r="D53" s="12" t="str">
        <x:v>BG-G2-BLK</x:v>
      </x:c>
      <x:c r="E53" s="12" t="str">
        <x:v>best manual coffee grinder</x:v>
      </x:c>
      <x:c r="F53" s="12" t="str">
        <x:v>Exact</x:v>
      </x:c>
      <x:c r="G53" s="12" t="n">
        <x:v>41</x:v>
      </x:c>
      <x:c r="H53" s="12" t="n">
        <x:v>2</x:v>
      </x:c>
      <x:c r="I53" s="13" t="n">
        <x:v>4.35</x:v>
      </x:c>
      <x:c r="J53" s="12" t="n">
        <x:v>1</x:v>
      </x:c>
      <x:c r="K53" s="13" t="n">
        <x:v>39.99</x:v>
      </x:c>
      <x:c r="L53" s="14" t="n">
        <x:f>IF(G53=0,0,H53/G53)</x:f>
        <x:v>0.04878048780487805</x:v>
      </x:c>
      <x:c r="M53" s="14" t="n">
        <x:f>IF(H53=0,0,J53/H53)</x:f>
        <x:v>0.5</x:v>
      </x:c>
      <x:c r="N53" s="14" t="n">
        <x:f>IF(K53=0,"",I53/K53)</x:f>
        <x:v>0.10877719429857463</x:v>
      </x:c>
    </x:row>
    <x:row r="54" ht="15" hidden="0" customHeight="1">
      <x:c r="A54" s="12" t="str">
        <x:v>2026/06/29-2026/07/12</x:v>
      </x:c>
      <x:c r="B54" s="12" t="str">
        <x:v>G2 Discovery</x:v>
      </x:c>
      <x:c r="C54" s="12" t="str">
        <x:v>Black Hero</x:v>
      </x:c>
      <x:c r="D54" s="12" t="str">
        <x:v>BG-G2-BLK</x:v>
      </x:c>
      <x:c r="E54" s="12" t="str">
        <x:v>quiet coffee grinder</x:v>
      </x:c>
      <x:c r="F54" s="12" t="str">
        <x:v>Phrase</x:v>
      </x:c>
      <x:c r="G54" s="12" t="n">
        <x:v>120</x:v>
      </x:c>
      <x:c r="H54" s="12" t="n">
        <x:v>5</x:v>
      </x:c>
      <x:c r="I54" s="13" t="n">
        <x:v>6.9</x:v>
      </x:c>
      <x:c r="J54" s="12" t="n">
        <x:v>0</x:v>
      </x:c>
      <x:c r="K54" s="13" t="n">
        <x:v>0</x:v>
      </x:c>
      <x:c r="L54" s="14" t="n">
        <x:f>IF(G54=0,0,H54/G54)</x:f>
        <x:v>0.041666666666666664</x:v>
      </x:c>
      <x:c r="M54" s="14" t="n">
        <x:f>IF(H54=0,0,J54/H54)</x:f>
        <x:v>0</x:v>
      </x:c>
      <x:c r="N54" s="14" t="str">
        <x:f>IF(K54=0,"",I54/K54)</x:f>
      </x:c>
    </x:row>
    <x:row r="55" ht="15" hidden="0" customHeight="1">
      <x:c r="A55" s="12" t="str">
        <x:v>2026/06/29-2026/07/12</x:v>
      </x:c>
      <x:c r="B55" s="12" t="str">
        <x:v>G2 Competitor</x:v>
      </x:c>
      <x:c r="C55" s="12" t="str">
        <x:v>Standard Variants</x:v>
      </x:c>
      <x:c r="D55" s="12" t="str">
        <x:v>BG-G2-BLK</x:v>
      </x:c>
      <x:c r="E55" s="12" t="str">
        <x:v>mini burr grinder</x:v>
      </x:c>
      <x:c r="F55" s="12" t="str">
        <x:v>Exact</x:v>
      </x:c>
      <x:c r="G55" s="12" t="n">
        <x:v>48</x:v>
      </x:c>
      <x:c r="H55" s="12" t="n">
        <x:v>3</x:v>
      </x:c>
      <x:c r="I55" s="13" t="n">
        <x:v>3.94</x:v>
      </x:c>
      <x:c r="J55" s="12" t="n">
        <x:v>1</x:v>
      </x:c>
      <x:c r="K55" s="13" t="n">
        <x:v>39.99</x:v>
      </x:c>
      <x:c r="L55" s="14" t="n">
        <x:f>IF(G55=0,0,H55/G55)</x:f>
        <x:v>0.0625</x:v>
      </x:c>
      <x:c r="M55" s="14" t="n">
        <x:f>IF(H55=0,0,J55/H55)</x:f>
        <x:v>0.3333333333333333</x:v>
      </x:c>
      <x:c r="N55" s="14" t="n">
        <x:f>IF(K55=0,"",I55/K55)</x:f>
        <x:v>0.09852463115778944</x:v>
      </x:c>
    </x:row>
    <x:row r="56" ht="15" hidden="0" customHeight="1">
      <x:c r="A56" s="12" t="str">
        <x:v>2026/06/29-2026/07/12</x:v>
      </x:c>
      <x:c r="B56" s="12" t="str">
        <x:v>G2 Manual Core</x:v>
      </x:c>
      <x:c r="C56" s="12" t="str">
        <x:v>Black Hero</x:v>
      </x:c>
      <x:c r="D56" s="12" t="str">
        <x:v>BG-G2-BLK</x:v>
      </x:c>
      <x:c r="E56" s="12" t="str">
        <x:v>coffee mill travel</x:v>
      </x:c>
      <x:c r="F56" s="12" t="str">
        <x:v>Phrase</x:v>
      </x:c>
      <x:c r="G56" s="12" t="n">
        <x:v>189</x:v>
      </x:c>
      <x:c r="H56" s="12" t="n">
        <x:v>11</x:v>
      </x:c>
      <x:c r="I56" s="13" t="n">
        <x:v>7.29</x:v>
      </x:c>
      <x:c r="J56" s="12" t="n">
        <x:v>1</x:v>
      </x:c>
      <x:c r="K56" s="13" t="n">
        <x:v>48.99</x:v>
      </x:c>
      <x:c r="L56" s="14" t="n">
        <x:f>IF(G56=0,0,H56/G56)</x:f>
        <x:v>0.0582010582010582</x:v>
      </x:c>
      <x:c r="M56" s="14" t="n">
        <x:f>IF(H56=0,0,J56/H56)</x:f>
        <x:v>0.09090909090909091</x:v>
      </x:c>
      <x:c r="N56" s="14" t="n">
        <x:f>IF(K56=0,"",I56/K56)</x:f>
        <x:v>0.14880587875076545</x:v>
      </x:c>
    </x:row>
    <x:row r="57" ht="15" hidden="0" customHeight="1">
      <x:c r="A57" s="12" t="str">
        <x:v>2026/06/29-2026/07/12</x:v>
      </x:c>
      <x:c r="B57" s="12" t="str">
        <x:v>G2 Discovery</x:v>
      </x:c>
      <x:c r="C57" s="12" t="str">
        <x:v>Standard Variants</x:v>
      </x:c>
      <x:c r="D57" s="12" t="str">
        <x:v>BG-G2-BLK</x:v>
      </x:c>
      <x:c r="E57" s="12" t="str">
        <x:v>ceramic coffee grinder</x:v>
      </x:c>
      <x:c r="F57" s="12" t="str">
        <x:v>Broad</x:v>
      </x:c>
      <x:c r="G57" s="12" t="n">
        <x:v>428</x:v>
      </x:c>
      <x:c r="H57" s="12" t="n">
        <x:v>20</x:v>
      </x:c>
      <x:c r="I57" s="13" t="n">
        <x:v>13.48</x:v>
      </x:c>
      <x:c r="J57" s="12" t="n">
        <x:v>1</x:v>
      </x:c>
      <x:c r="K57" s="13" t="n">
        <x:v>39.99</x:v>
      </x:c>
      <x:c r="L57" s="14" t="n">
        <x:f>IF(G57=0,0,H57/G57)</x:f>
        <x:v>0.04672897196261682</x:v>
      </x:c>
      <x:c r="M57" s="14" t="n">
        <x:f>IF(H57=0,0,J57/H57)</x:f>
        <x:v>0.05</x:v>
      </x:c>
      <x:c r="N57" s="14" t="n">
        <x:f>IF(K57=0,"",I57/K57)</x:f>
        <x:v>0.33708427106776695</x:v>
      </x:c>
    </x:row>
    <x:row r="58" ht="15" hidden="0" customHeight="1">
      <x:c r="A58" s="12" t="str">
        <x:v>2026/06/29-2026/07/12</x:v>
      </x:c>
      <x:c r="B58" s="12" t="str">
        <x:v>G2 Competitor</x:v>
      </x:c>
      <x:c r="C58" s="12" t="str">
        <x:v>Black Hero</x:v>
      </x:c>
      <x:c r="D58" s="12" t="str">
        <x:v>BG-G2-SLV</x:v>
      </x:c>
      <x:c r="E58" s="12" t="str">
        <x:v>manual coffee grinder</x:v>
      </x:c>
      <x:c r="F58" s="12" t="str">
        <x:v>Exact</x:v>
      </x:c>
      <x:c r="G58" s="12" t="n">
        <x:v>1628</x:v>
      </x:c>
      <x:c r="H58" s="12" t="n">
        <x:v>99</x:v>
      </x:c>
      <x:c r="I58" s="13" t="n">
        <x:v>51.39</x:v>
      </x:c>
      <x:c r="J58" s="12" t="n">
        <x:v>11</x:v>
      </x:c>
      <x:c r="K58" s="13" t="n">
        <x:v>439.89000000000004</x:v>
      </x:c>
      <x:c r="L58" s="14" t="n">
        <x:f>IF(G58=0,0,H58/G58)</x:f>
        <x:v>0.060810810810810814</x:v>
      </x:c>
      <x:c r="M58" s="14" t="n">
        <x:f>IF(H58=0,0,J58/H58)</x:f>
        <x:v>0.1111111111111111</x:v>
      </x:c>
      <x:c r="N58" s="14" t="n">
        <x:f>IF(K58=0,"",I58/K58)</x:f>
        <x:v>0.11682466071063219</x:v>
      </x:c>
    </x:row>
    <x:row r="59" ht="15" hidden="0" customHeight="1">
      <x:c r="A59" s="12" t="str">
        <x:v>2026/06/29-2026/07/12</x:v>
      </x:c>
      <x:c r="B59" s="12" t="str">
        <x:v>G2 Manual Core</x:v>
      </x:c>
      <x:c r="C59" s="12" t="str">
        <x:v>Standard Variants</x:v>
      </x:c>
      <x:c r="D59" s="12" t="str">
        <x:v>BG-G2-BLK</x:v>
      </x:c>
      <x:c r="E59" s="12" t="str">
        <x:v>portable coffee grinder</x:v>
      </x:c>
      <x:c r="F59" s="12" t="str">
        <x:v>Phrase</x:v>
      </x:c>
      <x:c r="G59" s="12" t="n">
        <x:v>1565</x:v>
      </x:c>
      <x:c r="H59" s="12" t="n">
        <x:v>83</x:v>
      </x:c>
      <x:c r="I59" s="13" t="n">
        <x:v>48.51</x:v>
      </x:c>
      <x:c r="J59" s="12" t="n">
        <x:v>8</x:v>
      </x:c>
      <x:c r="K59" s="13" t="n">
        <x:v>319.92</x:v>
      </x:c>
      <x:c r="L59" s="14" t="n">
        <x:f>IF(G59=0,0,H59/G59)</x:f>
        <x:v>0.053035143769968054</x:v>
      </x:c>
      <x:c r="M59" s="14" t="n">
        <x:f>IF(H59=0,0,J59/H59)</x:f>
        <x:v>0.0963855421686747</x:v>
      </x:c>
      <x:c r="N59" s="14" t="n">
        <x:f>IF(K59=0,"",I59/K59)</x:f>
        <x:v>0.1516316579144786</x:v>
      </x:c>
    </x:row>
    <x:row r="60" ht="15" hidden="0" customHeight="1">
      <x:c r="A60" s="12" t="str">
        <x:v>2026/06/29-2026/07/12</x:v>
      </x:c>
      <x:c r="B60" s="12" t="str">
        <x:v>G2 Discovery</x:v>
      </x:c>
      <x:c r="C60" s="12" t="str">
        <x:v>Black Hero</x:v>
      </x:c>
      <x:c r="D60" s="12" t="str">
        <x:v>BG-G2-BLK</x:v>
      </x:c>
      <x:c r="E60" s="12" t="str">
        <x:v>travel coffee grinder</x:v>
      </x:c>
      <x:c r="F60" s="12" t="str">
        <x:v>Exact</x:v>
      </x:c>
      <x:c r="G60" s="12" t="n">
        <x:v>791</x:v>
      </x:c>
      <x:c r="H60" s="12" t="n">
        <x:v>46</x:v>
      </x:c>
      <x:c r="I60" s="13" t="n">
        <x:v>27.18</x:v>
      </x:c>
      <x:c r="J60" s="12" t="n">
        <x:v>4</x:v>
      </x:c>
      <x:c r="K60" s="13" t="n">
        <x:v>159.96</x:v>
      </x:c>
      <x:c r="L60" s="14" t="n">
        <x:f>IF(G60=0,0,H60/G60)</x:f>
        <x:v>0.05815423514538559</x:v>
      </x:c>
      <x:c r="M60" s="14" t="n">
        <x:f>IF(H60=0,0,J60/H60)</x:f>
        <x:v>0.08695652173913043</x:v>
      </x:c>
      <x:c r="N60" s="14" t="n">
        <x:f>IF(K60=0,"",I60/K60)</x:f>
        <x:v>0.16991747936984244</x:v>
      </x:c>
    </x:row>
    <x:row r="61" ht="15" hidden="0" customHeight="1">
      <x:c r="A61" s="12" t="str">
        <x:v>2026/06/29-2026/07/12</x:v>
      </x:c>
      <x:c r="B61" s="12" t="str">
        <x:v>G2 Competitor</x:v>
      </x:c>
      <x:c r="C61" s="12" t="str">
        <x:v>Standard Variants</x:v>
      </x:c>
      <x:c r="D61" s="12" t="str">
        <x:v>BG-G2-BLK</x:v>
      </x:c>
      <x:c r="E61" s="12" t="str">
        <x:v>hand grinder for pour over</x:v>
      </x:c>
      <x:c r="F61" s="12" t="str">
        <x:v>Broad</x:v>
      </x:c>
      <x:c r="G61" s="12" t="n">
        <x:v>783</x:v>
      </x:c>
      <x:c r="H61" s="12" t="n">
        <x:v>47</x:v>
      </x:c>
      <x:c r="I61" s="13" t="n">
        <x:v>29.25</x:v>
      </x:c>
      <x:c r="J61" s="12" t="n">
        <x:v>5</x:v>
      </x:c>
      <x:c r="K61" s="13" t="n">
        <x:v>199.95000000000002</x:v>
      </x:c>
      <x:c r="L61" s="14" t="n">
        <x:f>IF(G61=0,0,H61/G61)</x:f>
        <x:v>0.06002554278416347</x:v>
      </x:c>
      <x:c r="M61" s="14" t="n">
        <x:f>IF(H61=0,0,J61/H61)</x:f>
        <x:v>0.10638297872340426</x:v>
      </x:c>
      <x:c r="N61" s="14" t="n">
        <x:f>IF(K61=0,"",I61/K61)</x:f>
        <x:v>0.14628657164291073</x:v>
      </x:c>
    </x:row>
    <x:row r="62" ht="15" hidden="0" customHeight="1">
      <x:c r="A62" s="12" t="str">
        <x:v>2026/06/29-2026/07/12</x:v>
      </x:c>
      <x:c r="B62" s="12" t="str">
        <x:v>G2 Manual Core</x:v>
      </x:c>
      <x:c r="C62" s="12" t="str">
        <x:v>Black Hero</x:v>
      </x:c>
      <x:c r="D62" s="12" t="str">
        <x:v>BG-G2-BLK</x:v>
      </x:c>
      <x:c r="E62" s="12" t="str">
        <x:v>coffee grinder camping</x:v>
      </x:c>
      <x:c r="F62" s="12" t="str">
        <x:v>Phrase</x:v>
      </x:c>
      <x:c r="G62" s="12" t="n">
        <x:v>428</x:v>
      </x:c>
      <x:c r="H62" s="12" t="n">
        <x:v>23</x:v>
      </x:c>
      <x:c r="I62" s="13" t="n">
        <x:v>14.11</x:v>
      </x:c>
      <x:c r="J62" s="12" t="n">
        <x:v>3</x:v>
      </x:c>
      <x:c r="K62" s="13" t="n">
        <x:v>119.97</x:v>
      </x:c>
      <x:c r="L62" s="14" t="n">
        <x:f>IF(G62=0,0,H62/G62)</x:f>
        <x:v>0.053738317757009345</x:v>
      </x:c>
      <x:c r="M62" s="14" t="n">
        <x:f>IF(H62=0,0,J62/H62)</x:f>
        <x:v>0.13043478260869565</x:v>
      </x:c>
      <x:c r="N62" s="14" t="n">
        <x:f>IF(K62=0,"",I62/K62)</x:f>
        <x:v>0.1176127365174627</x:v>
      </x:c>
    </x:row>
    <x:row r="63" ht="15" hidden="0" customHeight="1">
      <x:c r="A63" s="12" t="str">
        <x:v>2026/06/29-2026/07/12</x:v>
      </x:c>
      <x:c r="B63" s="12" t="str">
        <x:v>G2 Discovery</x:v>
      </x:c>
      <x:c r="C63" s="12" t="str">
        <x:v>Standard Variants</x:v>
      </x:c>
      <x:c r="D63" s="12" t="str">
        <x:v>BG-G2-BLK</x:v>
      </x:c>
      <x:c r="E63" s="12" t="str">
        <x:v>espresso hand grinder</x:v>
      </x:c>
      <x:c r="F63" s="12" t="str">
        <x:v>Broad</x:v>
      </x:c>
      <x:c r="G63" s="12" t="n">
        <x:v>1222</x:v>
      </x:c>
      <x:c r="H63" s="12" t="n">
        <x:v>67</x:v>
      </x:c>
      <x:c r="I63" s="13" t="n">
        <x:v>73.53</x:v>
      </x:c>
      <x:c r="J63" s="12" t="n">
        <x:v>2</x:v>
      </x:c>
      <x:c r="K63" s="13" t="n">
        <x:v>79.98</x:v>
      </x:c>
      <x:c r="L63" s="14" t="n">
        <x:f>IF(G63=0,0,H63/G63)</x:f>
        <x:v>0.05482815057283143</x:v>
      </x:c>
      <x:c r="M63" s="14" t="n">
        <x:f>IF(H63=0,0,J63/H63)</x:f>
        <x:v>0.029850746268656716</x:v>
      </x:c>
      <x:c r="N63" s="14" t="n">
        <x:f>IF(K63=0,"",I63/K63)</x:f>
        <x:v>0.9193548387096774</x:v>
      </x:c>
    </x:row>
    <x:row r="64" ht="15" hidden="0" customHeight="1">
      <x:c r="A64" s="12" t="str">
        <x:v>2026/06/29-2026/07/12</x:v>
      </x:c>
      <x:c r="B64" s="12" t="str">
        <x:v>G2 Competitor</x:v>
      </x:c>
      <x:c r="C64" s="12" t="str">
        <x:v>Black Hero</x:v>
      </x:c>
      <x:c r="D64" s="12" t="str">
        <x:v>BG-G2-BLK</x:v>
      </x:c>
      <x:c r="E64" s="12" t="str">
        <x:v>electric coffee grinder</x:v>
      </x:c>
      <x:c r="F64" s="12" t="str">
        <x:v>Broad</x:v>
      </x:c>
      <x:c r="G64" s="12" t="n">
        <x:v>1804</x:v>
      </x:c>
      <x:c r="H64" s="12" t="n">
        <x:v>75</x:v>
      </x:c>
      <x:c r="I64" s="13" t="n">
        <x:v>69.29</x:v>
      </x:c>
      <x:c r="J64" s="12" t="n">
        <x:v>0</x:v>
      </x:c>
      <x:c r="K64" s="13" t="n">
        <x:v>0</x:v>
      </x:c>
      <x:c r="L64" s="14" t="n">
        <x:f>IF(G64=0,0,H64/G64)</x:f>
        <x:v>0.041574279379157426</x:v>
      </x:c>
      <x:c r="M64" s="14" t="n">
        <x:f>IF(H64=0,0,J64/H64)</x:f>
        <x:v>0</x:v>
      </x:c>
      <x:c r="N64" s="14" t="str">
        <x:f>IF(K64=0,"",I64/K64)</x:f>
      </x:c>
    </x:row>
    <x:row r="65" ht="15" hidden="0" customHeight="1">
      <x:c r="A65" s="12" t="str">
        <x:v>2026-07-13 to 2026-07-26</x:v>
      </x:c>
      <x:c r="B65" s="12" t="str">
        <x:v>G2 Manual Core</x:v>
      </x:c>
      <x:c r="C65" s="12" t="str">
        <x:v>Standard Variants</x:v>
      </x:c>
      <x:c r="D65" s="12" t="str">
        <x:v>BG-G2-SLV</x:v>
      </x:c>
      <x:c r="E65" s="12" t="str">
        <x:v>spice grinder</x:v>
      </x:c>
      <x:c r="F65" s="12" t="str">
        <x:v>Broad</x:v>
      </x:c>
      <x:c r="G65" s="12" t="n">
        <x:v>1040</x:v>
      </x:c>
      <x:c r="H65" s="12" t="n">
        <x:v>41</x:v>
      </x:c>
      <x:c r="I65" s="13" t="n">
        <x:v>36.53</x:v>
      </x:c>
      <x:c r="J65" s="12" t="n">
        <x:v>0</x:v>
      </x:c>
      <x:c r="K65" s="13" t="n">
        <x:v>0</x:v>
      </x:c>
      <x:c r="L65" s="14" t="n">
        <x:f>IF(G65=0,0,H65/G65)</x:f>
        <x:v>0.03942307692307692</x:v>
      </x:c>
      <x:c r="M65" s="14" t="n">
        <x:f>IF(H65=0,0,J65/H65)</x:f>
        <x:v>0</x:v>
      </x:c>
      <x:c r="N65" s="14" t="str">
        <x:f>IF(K65=0,"",I65/K65)</x:f>
      </x:c>
    </x:row>
    <x:row r="66" ht="15" hidden="0" customHeight="1">
      <x:c r="A66" s="12" t="str">
        <x:v>2026-07-13 to 2026-07-26</x:v>
      </x:c>
      <x:c r="B66" s="12" t="str">
        <x:v>G2 Discovery</x:v>
      </x:c>
      <x:c r="C66" s="12" t="str">
        <x:v>Black Hero</x:v>
      </x:c>
      <x:c r="D66" s="12" t="str">
        <x:v>BG-G2-BLK</x:v>
      </x:c>
      <x:c r="E66" s="12" t="str">
        <x:v>coffee grinder battery</x:v>
      </x:c>
      <x:c r="F66" s="12" t="str">
        <x:v>Phrase</x:v>
      </x:c>
      <x:c r="G66" s="12" t="n">
        <x:v>66</x:v>
      </x:c>
      <x:c r="H66" s="12" t="n">
        <x:v>2</x:v>
      </x:c>
      <x:c r="I66" s="13" t="n">
        <x:v>3.36</x:v>
      </x:c>
      <x:c r="J66" s="12" t="n">
        <x:v>0</x:v>
      </x:c>
      <x:c r="K66" s="13" t="n">
        <x:v>0</x:v>
      </x:c>
      <x:c r="L66" s="14" t="n">
        <x:f>IF(G66=0,0,H66/G66)</x:f>
        <x:v>0.030303030303030304</x:v>
      </x:c>
      <x:c r="M66" s="14" t="n">
        <x:f>IF(H66=0,0,J66/H66)</x:f>
        <x:v>0</x:v>
      </x:c>
      <x:c r="N66" s="14" t="str">
        <x:f>IF(K66=0,"",I66/K66)</x:f>
      </x:c>
    </x:row>
    <x:row r="67" ht="15" hidden="0" customHeight="1">
      <x:c r="A67" s="12" t="str">
        <x:v>2026-07-13 to 2026-07-26</x:v>
      </x:c>
      <x:c r="B67" s="12" t="str">
        <x:v>G2 Competitor</x:v>
      </x:c>
      <x:c r="C67" s="12" t="str">
        <x:v>Standard Variants</x:v>
      </x:c>
      <x:c r="D67" s="12" t="str">
        <x:v>BG-G2-BLK</x:v>
      </x:c>
      <x:c r="E67" s="12" t="str">
        <x:v>best manual coffee grinder</x:v>
      </x:c>
      <x:c r="F67" s="12" t="str">
        <x:v>Exact</x:v>
      </x:c>
      <x:c r="G67" s="12" t="n">
        <x:v>52</x:v>
      </x:c>
      <x:c r="H67" s="12" t="n">
        <x:v>3</x:v>
      </x:c>
      <x:c r="I67" s="13" t="n">
        <x:v>5.63</x:v>
      </x:c>
      <x:c r="J67" s="12" t="n">
        <x:v>1</x:v>
      </x:c>
      <x:c r="K67" s="13" t="n">
        <x:v>39.99</x:v>
      </x:c>
      <x:c r="L67" s="14" t="n">
        <x:f>IF(G67=0,0,H67/G67)</x:f>
        <x:v>0.057692307692307696</x:v>
      </x:c>
      <x:c r="M67" s="14" t="n">
        <x:f>IF(H67=0,0,J67/H67)</x:f>
        <x:v>0.3333333333333333</x:v>
      </x:c>
      <x:c r="N67" s="14" t="n">
        <x:f>IF(K67=0,"",I67/K67)</x:f>
        <x:v>0.14078519629907477</x:v>
      </x:c>
    </x:row>
    <x:row r="68" ht="15" hidden="0" customHeight="1">
      <x:c r="A68" s="12" t="str">
        <x:v>2026-07-13 to 2026-07-26</x:v>
      </x:c>
      <x:c r="B68" s="12" t="str">
        <x:v>G2 Manual Core</x:v>
      </x:c>
      <x:c r="C68" s="12" t="str">
        <x:v>Black Hero</x:v>
      </x:c>
      <x:c r="D68" s="12" t="str">
        <x:v>BG-G2-BLK</x:v>
      </x:c>
      <x:c r="E68" s="12" t="str">
        <x:v>quiet coffee grinder</x:v>
      </x:c>
      <x:c r="F68" s="12" t="str">
        <x:v>Phrase</x:v>
      </x:c>
      <x:c r="G68" s="12" t="n">
        <x:v>101</x:v>
      </x:c>
      <x:c r="H68" s="12" t="n">
        <x:v>4</x:v>
      </x:c>
      <x:c r="I68" s="13" t="n">
        <x:v>5.85</x:v>
      </x:c>
      <x:c r="J68" s="12" t="n">
        <x:v>0</x:v>
      </x:c>
      <x:c r="K68" s="13" t="n">
        <x:v>0</x:v>
      </x:c>
      <x:c r="L68" s="14" t="n">
        <x:f>IF(G68=0,0,H68/G68)</x:f>
        <x:v>0.039603960396039604</x:v>
      </x:c>
      <x:c r="M68" s="14" t="n">
        <x:f>IF(H68=0,0,J68/H68)</x:f>
        <x:v>0</x:v>
      </x:c>
      <x:c r="N68" s="14" t="str">
        <x:f>IF(K68=0,"",I68/K68)</x:f>
      </x:c>
    </x:row>
    <x:row r="69" ht="15" hidden="0" customHeight="1">
      <x:c r="A69" s="12" t="str">
        <x:v>2026-07-13 to 2026-07-26</x:v>
      </x:c>
      <x:c r="B69" s="12" t="str">
        <x:v>G2 Discovery</x:v>
      </x:c>
      <x:c r="C69" s="12" t="str">
        <x:v>Standard Variants</x:v>
      </x:c>
      <x:c r="D69" s="12" t="str">
        <x:v>BG-G2-BLK</x:v>
      </x:c>
      <x:c r="E69" s="12" t="str">
        <x:v>mini burr grinder</x:v>
      </x:c>
      <x:c r="F69" s="12" t="str">
        <x:v>Exact</x:v>
      </x:c>
      <x:c r="G69" s="12" t="n">
        <x:v>63</x:v>
      </x:c>
      <x:c r="H69" s="12" t="n">
        <x:v>4</x:v>
      </x:c>
      <x:c r="I69" s="13" t="n">
        <x:v>5.13</x:v>
      </x:c>
      <x:c r="J69" s="12" t="n">
        <x:v>1</x:v>
      </x:c>
      <x:c r="K69" s="13" t="n">
        <x:v>39.99</x:v>
      </x:c>
      <x:c r="L69" s="14" t="n">
        <x:f>IF(G69=0,0,H69/G69)</x:f>
        <x:v>0.06349206349206349</x:v>
      </x:c>
      <x:c r="M69" s="14" t="n">
        <x:f>IF(H69=0,0,J69/H69)</x:f>
        <x:v>0.25</x:v>
      </x:c>
      <x:c r="N69" s="14" t="n">
        <x:f>IF(K69=0,"",I69/K69)</x:f>
        <x:v>0.1282820705176294</x:v>
      </x:c>
    </x:row>
    <x:row r="70" ht="15" hidden="0" customHeight="1">
      <x:c r="A70" s="12" t="str">
        <x:v>2026-07-13 to 2026-07-26</x:v>
      </x:c>
      <x:c r="B70" s="12" t="str">
        <x:v>G2 Competitor</x:v>
      </x:c>
      <x:c r="C70" s="12" t="str">
        <x:v>Black Hero</x:v>
      </x:c>
      <x:c r="D70" s="12" t="str">
        <x:v>BG-G2-BLK</x:v>
      </x:c>
      <x:c r="E70" s="12" t="str">
        <x:v>coffee mill travel</x:v>
      </x:c>
      <x:c r="F70" s="12" t="str">
        <x:v>Phrase</x:v>
      </x:c>
      <x:c r="G70" s="12" t="n">
        <x:v>160</x:v>
      </x:c>
      <x:c r="H70" s="12" t="n">
        <x:v>9</x:v>
      </x:c>
      <x:c r="I70" s="13" t="n">
        <x:v>6.16</x:v>
      </x:c>
      <x:c r="J70" s="12" t="n">
        <x:v>1</x:v>
      </x:c>
      <x:c r="K70" s="13" t="n">
        <x:v>39.99</x:v>
      </x:c>
      <x:c r="L70" s="14" t="n">
        <x:f>IF(G70=0,0,H70/G70)</x:f>
        <x:v>0.05625</x:v>
      </x:c>
      <x:c r="M70" s="14" t="n">
        <x:f>IF(H70=0,0,J70/H70)</x:f>
        <x:v>0.1111111111111111</x:v>
      </x:c>
      <x:c r="N70" s="14" t="n">
        <x:f>IF(K70=0,"",I70/K70)</x:f>
        <x:v>0.15403850962740684</x:v>
      </x:c>
    </x:row>
    <x:row r="71" ht="15" hidden="0" customHeight="1">
      <x:c r="A71" s="12" t="str">
        <x:v>2026-07-13 to 2026-07-26</x:v>
      </x:c>
      <x:c r="B71" s="12" t="str">
        <x:v>G2 Manual Core</x:v>
      </x:c>
      <x:c r="C71" s="12" t="str">
        <x:v>Standard Variants</x:v>
      </x:c>
      <x:c r="D71" s="12" t="str">
        <x:v>BG-G2-BLK</x:v>
      </x:c>
      <x:c r="E71" s="12" t="str">
        <x:v>ceramic coffee grinder</x:v>
      </x:c>
      <x:c r="F71" s="12" t="str">
        <x:v>Broad</x:v>
      </x:c>
      <x:c r="G71" s="12" t="n">
        <x:v>372</x:v>
      </x:c>
      <x:c r="H71" s="12" t="n">
        <x:v>18</x:v>
      </x:c>
      <x:c r="I71" s="13" t="n">
        <x:v>11.72</x:v>
      </x:c>
      <x:c r="J71" s="12" t="n">
        <x:v>1</x:v>
      </x:c>
      <x:c r="K71" s="13" t="n">
        <x:v>39.99</x:v>
      </x:c>
      <x:c r="L71" s="14" t="n">
        <x:f>IF(G71=0,0,H71/G71)</x:f>
        <x:v>0.04838709677419355</x:v>
      </x:c>
      <x:c r="M71" s="14" t="n">
        <x:f>IF(H71=0,0,J71/H71)</x:f>
        <x:v>0.05555555555555555</x:v>
      </x:c>
      <x:c r="N71" s="14" t="n">
        <x:f>IF(K71=0,"",I71/K71)</x:f>
        <x:v>0.29307326831707925</x:v>
      </x:c>
    </x:row>
    <x:row r="72" ht="15" hidden="0" customHeight="1">
      <x:c r="A72" s="12" t="str">
        <x:v>2026-07-13 to 2026-07-26</x:v>
      </x:c>
      <x:c r="B72" s="12" t="str">
        <x:v>G2 Discovery</x:v>
      </x:c>
      <x:c r="C72" s="12" t="str">
        <x:v>Black Hero</x:v>
      </x:c>
      <x:c r="D72" s="12" t="str">
        <x:v>BG-G2-SLV</x:v>
      </x:c>
      <x:c r="E72" s="12" t="str">
        <x:v>manual coffee grinder</x:v>
      </x:c>
      <x:c r="F72" s="12" t="str">
        <x:v>Exact</x:v>
      </x:c>
      <x:c r="G72" s="12" t="n">
        <x:v>1369</x:v>
      </x:c>
      <x:c r="H72" s="12" t="n">
        <x:v>83</x:v>
      </x:c>
      <x:c r="I72" s="13" t="n">
        <x:v>43.22</x:v>
      </x:c>
      <x:c r="J72" s="12" t="n">
        <x:v>11</x:v>
      </x:c>
      <x:c r="K72" s="13" t="n">
        <x:v>439.89000000000004</x:v>
      </x:c>
      <x:c r="L72" s="14" t="n">
        <x:f>IF(G72=0,0,H72/G72)</x:f>
        <x:v>0.0606281957633309</x:v>
      </x:c>
      <x:c r="M72" s="14" t="n">
        <x:f>IF(H72=0,0,J72/H72)</x:f>
        <x:v>0.13253012048192772</x:v>
      </x:c>
      <x:c r="N72" s="14" t="n">
        <x:f>IF(K72=0,"",I72/K72)</x:f>
        <x:v>0.09825183568619426</x:v>
      </x:c>
    </x:row>
    <x:row r="73" ht="15" hidden="0" customHeight="1">
      <x:c r="A73" s="12" t="str">
        <x:v>2026-07-13 to 2026-07-26</x:v>
      </x:c>
      <x:c r="B73" s="12" t="str">
        <x:v>G2 Competitor</x:v>
      </x:c>
      <x:c r="C73" s="12" t="str">
        <x:v>Standard Variants</x:v>
      </x:c>
      <x:c r="D73" s="12" t="str">
        <x:v>BG-G2-BLK</x:v>
      </x:c>
      <x:c r="E73" s="12" t="str">
        <x:v>portable coffee grinder</x:v>
      </x:c>
      <x:c r="F73" s="12" t="str">
        <x:v>Phrase</x:v>
      </x:c>
      <x:c r="G73" s="12" t="n">
        <x:v>1356</x:v>
      </x:c>
      <x:c r="H73" s="12" t="n">
        <x:v>72</x:v>
      </x:c>
      <x:c r="I73" s="13" t="n">
        <x:v>42.04</x:v>
      </x:c>
      <x:c r="J73" s="12" t="n">
        <x:v>7</x:v>
      </x:c>
      <x:c r="K73" s="13" t="n">
        <x:v>279.93</x:v>
      </x:c>
      <x:c r="L73" s="14" t="n">
        <x:f>IF(G73=0,0,H73/G73)</x:f>
        <x:v>0.05309734513274336</x:v>
      </x:c>
      <x:c r="M73" s="14" t="n">
        <x:f>IF(H73=0,0,J73/H73)</x:f>
        <x:v>0.09722222222222222</x:v>
      </x:c>
      <x:c r="N73" s="14" t="n">
        <x:f>IF(K73=0,"",I73/K73)</x:f>
        <x:v>0.150180402243418</x:v>
      </x:c>
    </x:row>
    <x:row r="74" ht="15" hidden="0" customHeight="1">
      <x:c r="A74" s="12" t="str">
        <x:v>2026-07-13 to 2026-07-26</x:v>
      </x:c>
      <x:c r="B74" s="12" t="str">
        <x:v>G2 Manual Core</x:v>
      </x:c>
      <x:c r="C74" s="12" t="str">
        <x:v>Black Hero</x:v>
      </x:c>
      <x:c r="D74" s="12" t="str">
        <x:v>BG-G2-BLK</x:v>
      </x:c>
      <x:c r="E74" s="12" t="str">
        <x:v>travel coffee grinder</x:v>
      </x:c>
      <x:c r="F74" s="12" t="str">
        <x:v>Exact</x:v>
      </x:c>
      <x:c r="G74" s="12" t="n">
        <x:v>662</x:v>
      </x:c>
      <x:c r="H74" s="12" t="n">
        <x:v>38</x:v>
      </x:c>
      <x:c r="I74" s="13" t="n">
        <x:v>22.75</x:v>
      </x:c>
      <x:c r="J74" s="12" t="n">
        <x:v>4</x:v>
      </x:c>
      <x:c r="K74" s="13" t="n">
        <x:v>195.96</x:v>
      </x:c>
      <x:c r="L74" s="14" t="n">
        <x:f>IF(G74=0,0,H74/G74)</x:f>
        <x:v>0.05740181268882175</x:v>
      </x:c>
      <x:c r="M74" s="14" t="n">
        <x:f>IF(H74=0,0,J74/H74)</x:f>
        <x:v>0.10526315789473684</x:v>
      </x:c>
      <x:c r="N74" s="14" t="n">
        <x:f>IF(K74=0,"",I74/K74)</x:f>
        <x:v>0.11609512145335782</x:v>
      </x:c>
    </x:row>
    <x:row r="75" ht="15" hidden="0" customHeight="1">
      <x:c r="A75" s="12" t="str">
        <x:v>2026-07-13 to 2026-07-26</x:v>
      </x:c>
      <x:c r="B75" s="12" t="str">
        <x:v>G2 Discovery</x:v>
      </x:c>
      <x:c r="C75" s="12" t="str">
        <x:v>Standard Variants</x:v>
      </x:c>
      <x:c r="D75" s="12" t="str">
        <x:v>BG-G2-BLK</x:v>
      </x:c>
      <x:c r="E75" s="12" t="str">
        <x:v>hand grinder for pour over</x:v>
      </x:c>
      <x:c r="F75" s="12" t="str">
        <x:v>Broad</x:v>
      </x:c>
      <x:c r="G75" s="12" t="n">
        <x:v>676</x:v>
      </x:c>
      <x:c r="H75" s="12" t="n">
        <x:v>41</x:v>
      </x:c>
      <x:c r="I75" s="13" t="n">
        <x:v>25.28</x:v>
      </x:c>
      <x:c r="J75" s="12" t="n">
        <x:v>4</x:v>
      </x:c>
      <x:c r="K75" s="13" t="n">
        <x:v>159.96</x:v>
      </x:c>
      <x:c r="L75" s="14" t="n">
        <x:f>IF(G75=0,0,H75/G75)</x:f>
        <x:v>0.060650887573964495</x:v>
      </x:c>
      <x:c r="M75" s="14" t="n">
        <x:f>IF(H75=0,0,J75/H75)</x:f>
        <x:v>0.0975609756097561</x:v>
      </x:c>
      <x:c r="N75" s="14" t="n">
        <x:f>IF(K75=0,"",I75/K75)</x:f>
        <x:v>0.15803950987746937</x:v>
      </x:c>
    </x:row>
    <x:row r="76" ht="15" hidden="0" customHeight="1">
      <x:c r="A76" s="12" t="str">
        <x:v>2026-07-13 to 2026-07-26</x:v>
      </x:c>
      <x:c r="B76" s="12" t="str">
        <x:v>G2 Competitor</x:v>
      </x:c>
      <x:c r="C76" s="12" t="str">
        <x:v>Black Hero</x:v>
      </x:c>
      <x:c r="D76" s="12" t="str">
        <x:v>BG-G2-BLK</x:v>
      </x:c>
      <x:c r="E76" s="12" t="str">
        <x:v>coffee grinder camping</x:v>
      </x:c>
      <x:c r="F76" s="12" t="str">
        <x:v>Phrase</x:v>
      </x:c>
      <x:c r="G76" s="12" t="n">
        <x:v>541</x:v>
      </x:c>
      <x:c r="H76" s="12" t="n">
        <x:v>29</x:v>
      </x:c>
      <x:c r="I76" s="13" t="n">
        <x:v>17.81</x:v>
      </x:c>
      <x:c r="J76" s="12" t="n">
        <x:v>3</x:v>
      </x:c>
      <x:c r="K76" s="13" t="n">
        <x:v>119.97</x:v>
      </x:c>
      <x:c r="L76" s="14" t="n">
        <x:f>IF(G76=0,0,H76/G76)</x:f>
        <x:v>0.053604436229205174</x:v>
      </x:c>
      <x:c r="M76" s="14" t="n">
        <x:f>IF(H76=0,0,J76/H76)</x:f>
        <x:v>0.10344827586206896</x:v>
      </x:c>
      <x:c r="N76" s="14" t="n">
        <x:f>IF(K76=0,"",I76/K76)</x:f>
        <x:v>0.14845378011169458</x:v>
      </x:c>
    </x:row>
    <x:row r="77" ht="15" hidden="0" customHeight="1">
      <x:c r="A77" s="12" t="str">
        <x:v>2026-07-13 to 2026-07-26</x:v>
      </x:c>
      <x:c r="B77" s="12" t="str">
        <x:v>G2 Manual Core</x:v>
      </x:c>
      <x:c r="C77" s="12" t="str">
        <x:v>Standard Variants</x:v>
      </x:c>
      <x:c r="D77" s="12" t="str">
        <x:v>BG-G2-BLK</x:v>
      </x:c>
      <x:c r="E77" s="12" t="str">
        <x:v>espresso hand grinder</x:v>
      </x:c>
      <x:c r="F77" s="12" t="str">
        <x:v>Broad</x:v>
      </x:c>
      <x:c r="G77" s="12" t="n">
        <x:v>1053</x:v>
      </x:c>
      <x:c r="H77" s="12" t="n">
        <x:v>57</x:v>
      </x:c>
      <x:c r="I77" s="13" t="n">
        <x:v>63.34</x:v>
      </x:c>
      <x:c r="J77" s="12" t="n">
        <x:v>2</x:v>
      </x:c>
      <x:c r="K77" s="13" t="n">
        <x:v>79.98</x:v>
      </x:c>
      <x:c r="L77" s="14" t="n">
        <x:f>IF(G77=0,0,H77/G77)</x:f>
        <x:v>0.05413105413105413</x:v>
      </x:c>
      <x:c r="M77" s="14" t="n">
        <x:f>IF(H77=0,0,J77/H77)</x:f>
        <x:v>0.03508771929824561</x:v>
      </x:c>
      <x:c r="N77" s="14" t="n">
        <x:f>IF(K77=0,"",I77/K77)</x:f>
        <x:v>0.7919479869967492</x:v>
      </x:c>
    </x:row>
    <x:row r="78" ht="15" hidden="0" customHeight="1">
      <x:c r="A78" s="12" t="str">
        <x:v>2026-07-13 to 2026-07-26</x:v>
      </x:c>
      <x:c r="B78" s="12" t="str">
        <x:v>G2 Discovery</x:v>
      </x:c>
      <x:c r="C78" s="12" t="str">
        <x:v>Black Hero</x:v>
      </x:c>
      <x:c r="D78" s="12" t="str">
        <x:v>BG-G2-BLK</x:v>
      </x:c>
      <x:c r="E78" s="12" t="str">
        <x:v>electric coffee grinder</x:v>
      </x:c>
      <x:c r="F78" s="12" t="str">
        <x:v>Broad</x:v>
      </x:c>
      <x:c r="G78" s="12" t="n">
        <x:v>2288</x:v>
      </x:c>
      <x:c r="H78" s="12" t="n">
        <x:v>95</x:v>
      </x:c>
      <x:c r="I78" s="13" t="n">
        <x:v>87.88</x:v>
      </x:c>
      <x:c r="J78" s="12" t="n">
        <x:v>0</x:v>
      </x:c>
      <x:c r="K78" s="13" t="n">
        <x:v>0</x:v>
      </x:c>
      <x:c r="L78" s="14" t="n">
        <x:f>IF(G78=0,0,H78/G78)</x:f>
        <x:v>0.041520979020979024</x:v>
      </x:c>
      <x:c r="M78" s="14" t="n">
        <x:f>IF(H78=0,0,J78/H78)</x:f>
        <x:v>0</x:v>
      </x:c>
      <x:c r="N78" s="14" t="str">
        <x:f>IF(K78=0,"",I78/K78)</x:f>
      </x:c>
    </x:row>
    <x:row r="79" ht="15" hidden="0" customHeight="1">
      <x:c r="A79" s="12" t="str">
        <x:v>2026-07-13 to 2026-07-26</x:v>
      </x:c>
      <x:c r="B79" s="12" t="str">
        <x:v>G2 Competitor</x:v>
      </x:c>
      <x:c r="C79" s="12" t="str">
        <x:v>Standard Variants</x:v>
      </x:c>
      <x:c r="D79" s="12" t="str">
        <x:v>BG-G2-SLV</x:v>
      </x:c>
      <x:c r="E79" s="12" t="str">
        <x:v>spice grinder</x:v>
      </x:c>
      <x:c r="F79" s="12" t="str">
        <x:v>Broad</x:v>
      </x:c>
      <x:c r="G79" s="12" t="n">
        <x:v>893</x:v>
      </x:c>
      <x:c r="H79" s="12" t="n">
        <x:v>35</x:v>
      </x:c>
      <x:c r="I79" s="13" t="n">
        <x:v>31.37</x:v>
      </x:c>
      <x:c r="J79" s="12" t="n">
        <x:v>0</x:v>
      </x:c>
      <x:c r="K79" s="13" t="n">
        <x:v>0</x:v>
      </x:c>
      <x:c r="L79" s="14" t="n">
        <x:f>IF(G79=0,0,H79/G79)</x:f>
        <x:v>0.03919372900335946</x:v>
      </x:c>
      <x:c r="M79" s="14" t="n">
        <x:f>IF(H79=0,0,J79/H79)</x:f>
        <x:v>0</x:v>
      </x:c>
      <x:c r="N79" s="14" t="str">
        <x:f>IF(K79=0,"",I79/K79)</x:f>
      </x:c>
    </x:row>
    <x:row r="80" ht="15" hidden="0" customHeight="1">
      <x:c r="A80" s="12" t="str">
        <x:v>2026-07-13 to 2026-07-26</x:v>
      </x:c>
      <x:c r="B80" s="12" t="str">
        <x:v>G2 Manual Core</x:v>
      </x:c>
      <x:c r="C80" s="12" t="str">
        <x:v>Black Hero</x:v>
      </x:c>
      <x:c r="D80" s="12" t="str">
        <x:v>BG-G2-BLK</x:v>
      </x:c>
      <x:c r="E80" s="12" t="str">
        <x:v>coffee grinder battery</x:v>
      </x:c>
      <x:c r="F80" s="12" t="str">
        <x:v>Phrase</x:v>
      </x:c>
      <x:c r="G80" s="12" t="n">
        <x:v>84</x:v>
      </x:c>
      <x:c r="H80" s="12" t="n">
        <x:v>2</x:v>
      </x:c>
      <x:c r="I80" s="13" t="n">
        <x:v>4.28</x:v>
      </x:c>
      <x:c r="J80" s="12" t="n">
        <x:v>0</x:v>
      </x:c>
      <x:c r="K80" s="13" t="n">
        <x:v>0</x:v>
      </x:c>
      <x:c r="L80" s="14" t="n">
        <x:f>IF(G80=0,0,H80/G80)</x:f>
        <x:v>0.023809523809523808</x:v>
      </x:c>
      <x:c r="M80" s="14" t="n">
        <x:f>IF(H80=0,0,J80/H80)</x:f>
        <x:v>0</x:v>
      </x:c>
      <x:c r="N80" s="14" t="str">
        <x:f>IF(K80=0,"",I80/K80)</x:f>
      </x:c>
    </x:row>
    <x:row r="81" ht="15" hidden="0" customHeight="1">
      <x:c r="A81" s="12" t="str">
        <x:v>2026-07-13 to 2026-07-26</x:v>
      </x:c>
      <x:c r="B81" s="12" t="str">
        <x:v>G2 Discovery</x:v>
      </x:c>
      <x:c r="C81" s="12" t="str">
        <x:v>Standard Variants</x:v>
      </x:c>
      <x:c r="D81" s="12" t="str">
        <x:v>BG-G2-BLK</x:v>
      </x:c>
      <x:c r="E81" s="12" t="str">
        <x:v>best manual coffee grinder</x:v>
      </x:c>
      <x:c r="F81" s="12" t="str">
        <x:v>Exact</x:v>
      </x:c>
      <x:c r="G81" s="12" t="n">
        <x:v>45</x:v>
      </x:c>
      <x:c r="H81" s="12" t="n">
        <x:v>2</x:v>
      </x:c>
      <x:c r="I81" s="13" t="n">
        <x:v>4.81</x:v>
      </x:c>
      <x:c r="J81" s="12" t="n">
        <x:v>1</x:v>
      </x:c>
      <x:c r="K81" s="13" t="n">
        <x:v>39.99</x:v>
      </x:c>
      <x:c r="L81" s="14" t="n">
        <x:f>IF(G81=0,0,H81/G81)</x:f>
        <x:v>0.044444444444444446</x:v>
      </x:c>
      <x:c r="M81" s="14" t="n">
        <x:f>IF(H81=0,0,J81/H81)</x:f>
        <x:v>0.5</x:v>
      </x:c>
      <x:c r="N81" s="14" t="n">
        <x:f>IF(K81=0,"",I81/K81)</x:f>
        <x:v>0.12028007001750436</x:v>
      </x:c>
    </x:row>
    <x:row r="82" ht="15" hidden="0" customHeight="1">
      <x:c r="A82" s="12" t="str">
        <x:v>2026-07-13 to 2026-07-26</x:v>
      </x:c>
      <x:c r="B82" s="12" t="str">
        <x:v>G2 Competitor</x:v>
      </x:c>
      <x:c r="C82" s="12" t="str">
        <x:v>Black Hero</x:v>
      </x:c>
      <x:c r="D82" s="12" t="str">
        <x:v>BG-G2-BLK</x:v>
      </x:c>
      <x:c r="E82" s="12" t="str">
        <x:v>quiet coffee grinder</x:v>
      </x:c>
      <x:c r="F82" s="12" t="str">
        <x:v>Phrase</x:v>
      </x:c>
      <x:c r="G82" s="12" t="n">
        <x:v>130</x:v>
      </x:c>
      <x:c r="H82" s="12" t="n">
        <x:v>5</x:v>
      </x:c>
      <x:c r="I82" s="13" t="n">
        <x:v>7.5</x:v>
      </x:c>
      <x:c r="J82" s="12" t="n">
        <x:v>0</x:v>
      </x:c>
      <x:c r="K82" s="13" t="n">
        <x:v>0</x:v>
      </x:c>
      <x:c r="L82" s="14" t="n">
        <x:f>IF(G82=0,0,H82/G82)</x:f>
        <x:v>0.038461538461538464</x:v>
      </x:c>
      <x:c r="M82" s="14" t="n">
        <x:f>IF(H82=0,0,J82/H82)</x:f>
        <x:v>0</x:v>
      </x:c>
      <x:c r="N82" s="14" t="str">
        <x:f>IF(K82=0,"",I82/K82)</x:f>
      </x:c>
    </x:row>
    <x:row r="83" ht="15" hidden="0" customHeight="1">
      <x:c r="A83" s="12" t="str">
        <x:v>2026-07-13 to 2026-07-26</x:v>
      </x:c>
      <x:c r="B83" s="12" t="str">
        <x:v>G2 Manual Core</x:v>
      </x:c>
      <x:c r="C83" s="12" t="str">
        <x:v>Standard Variants</x:v>
      </x:c>
      <x:c r="D83" s="12" t="str">
        <x:v>BG-G2-BLK</x:v>
      </x:c>
      <x:c r="E83" s="12" t="str">
        <x:v>mini burr grinder</x:v>
      </x:c>
      <x:c r="F83" s="12" t="str">
        <x:v>Exact</x:v>
      </x:c>
      <x:c r="G83" s="12" t="n">
        <x:v>53</x:v>
      </x:c>
      <x:c r="H83" s="12" t="n">
        <x:v>3</x:v>
      </x:c>
      <x:c r="I83" s="13" t="n">
        <x:v>4.37</x:v>
      </x:c>
      <x:c r="J83" s="12" t="n">
        <x:v>1</x:v>
      </x:c>
      <x:c r="K83" s="13" t="n">
        <x:v>48.99</x:v>
      </x:c>
      <x:c r="L83" s="14" t="n">
        <x:f>IF(G83=0,0,H83/G83)</x:f>
        <x:v>0.05660377358490566</x:v>
      </x:c>
      <x:c r="M83" s="14" t="n">
        <x:f>IF(H83=0,0,J83/H83)</x:f>
        <x:v>0.3333333333333333</x:v>
      </x:c>
      <x:c r="N83" s="14" t="n">
        <x:f>IF(K83=0,"",I83/K83)</x:f>
        <x:v>0.0892018779342723</x:v>
      </x:c>
    </x:row>
    <x:row r="84" ht="15" hidden="0" customHeight="1">
      <x:c r="A84" s="12" t="str">
        <x:v>2026-07-13 to 2026-07-26</x:v>
      </x:c>
      <x:c r="B84" s="12" t="str">
        <x:v>G2 Discovery</x:v>
      </x:c>
      <x:c r="C84" s="12" t="str">
        <x:v>Black Hero</x:v>
      </x:c>
      <x:c r="D84" s="12" t="str">
        <x:v>BG-G2-BLK</x:v>
      </x:c>
      <x:c r="E84" s="12" t="str">
        <x:v>coffee mill travel</x:v>
      </x:c>
      <x:c r="F84" s="12" t="str">
        <x:v>Phrase</x:v>
      </x:c>
      <x:c r="G84" s="12" t="n">
        <x:v>206</x:v>
      </x:c>
      <x:c r="H84" s="12" t="n">
        <x:v>12</x:v>
      </x:c>
      <x:c r="I84" s="13" t="n">
        <x:v>7.94</x:v>
      </x:c>
      <x:c r="J84" s="12" t="n">
        <x:v>1</x:v>
      </x:c>
      <x:c r="K84" s="13" t="n">
        <x:v>39.99</x:v>
      </x:c>
      <x:c r="L84" s="14" t="n">
        <x:f>IF(G84=0,0,H84/G84)</x:f>
        <x:v>0.05825242718446602</x:v>
      </x:c>
      <x:c r="M84" s="14" t="n">
        <x:f>IF(H84=0,0,J84/H84)</x:f>
        <x:v>0.08333333333333333</x:v>
      </x:c>
      <x:c r="N84" s="14" t="n">
        <x:f>IF(K84=0,"",I84/K84)</x:f>
        <x:v>0.19854963740935233</x:v>
      </x:c>
    </x:row>
    <x:row r="85" ht="15" hidden="0" customHeight="1">
      <x:c r="A85" s="12" t="str">
        <x:v>2026-07-13 to 2026-07-26</x:v>
      </x:c>
      <x:c r="B85" s="12" t="str">
        <x:v>G2 Competitor</x:v>
      </x:c>
      <x:c r="C85" s="12" t="str">
        <x:v>Standard Variants</x:v>
      </x:c>
      <x:c r="D85" s="12" t="str">
        <x:v>BG-G2-BLK</x:v>
      </x:c>
      <x:c r="E85" s="12" t="str">
        <x:v>ceramic coffee grinder</x:v>
      </x:c>
      <x:c r="F85" s="12" t="str">
        <x:v>Broad</x:v>
      </x:c>
      <x:c r="G85" s="12" t="n">
        <x:v>316</x:v>
      </x:c>
      <x:c r="H85" s="12" t="n">
        <x:v>15</x:v>
      </x:c>
      <x:c r="I85" s="13" t="n">
        <x:v>9.95</x:v>
      </x:c>
      <x:c r="J85" s="12" t="n">
        <x:v>1</x:v>
      </x:c>
      <x:c r="K85" s="13" t="n">
        <x:v>39.99</x:v>
      </x:c>
      <x:c r="L85" s="14" t="n">
        <x:f>IF(G85=0,0,H85/G85)</x:f>
        <x:v>0.04746835443037975</x:v>
      </x:c>
      <x:c r="M85" s="14" t="n">
        <x:f>IF(H85=0,0,J85/H85)</x:f>
        <x:v>0.06666666666666667</x:v>
      </x:c>
      <x:c r="N85" s="14" t="n">
        <x:f>IF(K85=0,"",I85/K85)</x:f>
        <x:v>0.24881220305076265</x:v>
      </x:c>
    </x:row>
    <x:row r="86" ht="15" hidden="0" customHeight="1">
      <x:c r="A86" s="12" t="str">
        <x:v>2026-07-27 to 2026-08-08</x:v>
      </x:c>
      <x:c r="B86" s="12" t="str">
        <x:v>G2 Manual Core</x:v>
      </x:c>
      <x:c r="C86" s="12" t="str">
        <x:v>Black Hero</x:v>
      </x:c>
      <x:c r="D86" s="12" t="str">
        <x:v>BG-G2-SLV</x:v>
      </x:c>
      <x:c r="E86" s="12" t="str">
        <x:v>manual coffee grinder</x:v>
      </x:c>
      <x:c r="F86" s="12" t="str">
        <x:v>Exact</x:v>
      </x:c>
      <x:c r="G86" s="12" t="n">
        <x:v>1776</x:v>
      </x:c>
      <x:c r="H86" s="12" t="n">
        <x:v>108</x:v>
      </x:c>
      <x:c r="I86" s="13" t="n">
        <x:v>56.06</x:v>
      </x:c>
      <x:c r="J86" s="12" t="n">
        <x:v>11</x:v>
      </x:c>
      <x:c r="K86" s="13" t="n">
        <x:v>439.89000000000004</x:v>
      </x:c>
      <x:c r="L86" s="14" t="n">
        <x:f>IF(G86=0,0,H86/G86)</x:f>
        <x:v>0.060810810810810814</x:v>
      </x:c>
      <x:c r="M86" s="14" t="n">
        <x:f>IF(H86=0,0,J86/H86)</x:f>
        <x:v>0.10185185185185185</x:v>
      </x:c>
      <x:c r="N86" s="14" t="n">
        <x:f>IF(K86=0,"",I86/K86)</x:f>
        <x:v>0.12744095114687762</x:v>
      </x:c>
    </x:row>
    <x:row r="87" ht="15" hidden="0" customHeight="1">
      <x:c r="A87" s="12" t="str">
        <x:v>2026-07-27 to 2026-08-08</x:v>
      </x:c>
      <x:c r="B87" s="12" t="str">
        <x:v>G2 Discovery</x:v>
      </x:c>
      <x:c r="C87" s="12" t="str">
        <x:v>Standard Variants</x:v>
      </x:c>
      <x:c r="D87" s="12" t="str">
        <x:v>BG-G2-BLK</x:v>
      </x:c>
      <x:c r="E87" s="12" t="str">
        <x:v>portable coffee grinder</x:v>
      </x:c>
      <x:c r="F87" s="12" t="str">
        <x:v>Phrase</x:v>
      </x:c>
      <x:c r="G87" s="12" t="n">
        <x:v>1147</x:v>
      </x:c>
      <x:c r="H87" s="12" t="n">
        <x:v>61</x:v>
      </x:c>
      <x:c r="I87" s="13" t="n">
        <x:v>35.57</x:v>
      </x:c>
      <x:c r="J87" s="12" t="n">
        <x:v>6</x:v>
      </x:c>
      <x:c r="K87" s="13" t="n">
        <x:v>239.94</x:v>
      </x:c>
      <x:c r="L87" s="14" t="n">
        <x:f>IF(G87=0,0,H87/G87)</x:f>
        <x:v>0.05318221447253706</x:v>
      </x:c>
      <x:c r="M87" s="14" t="n">
        <x:f>IF(H87=0,0,J87/H87)</x:f>
        <x:v>0.09836065573770492</x:v>
      </x:c>
      <x:c r="N87" s="14" t="n">
        <x:f>IF(K87=0,"",I87/K87)</x:f>
        <x:v>0.14824539468200384</x:v>
      </x:c>
    </x:row>
    <x:row r="88" ht="15" hidden="0" customHeight="1">
      <x:c r="A88" s="12" t="str">
        <x:v>2026-07-27 to 2026-08-08</x:v>
      </x:c>
      <x:c r="B88" s="12" t="str">
        <x:v>G2 Competitor</x:v>
      </x:c>
      <x:c r="C88" s="12" t="str">
        <x:v>Black Hero</x:v>
      </x:c>
      <x:c r="D88" s="12" t="str">
        <x:v>BG-G2-BLK</x:v>
      </x:c>
      <x:c r="E88" s="12" t="str">
        <x:v>travel coffee grinder</x:v>
      </x:c>
      <x:c r="F88" s="12" t="str">
        <x:v>Exact</x:v>
      </x:c>
      <x:c r="G88" s="12" t="n">
        <x:v>865</x:v>
      </x:c>
      <x:c r="H88" s="12" t="n">
        <x:v>50</x:v>
      </x:c>
      <x:c r="I88" s="13" t="n">
        <x:v>29.7</x:v>
      </x:c>
      <x:c r="J88" s="12" t="n">
        <x:v>5</x:v>
      </x:c>
      <x:c r="K88" s="13" t="n">
        <x:v>199.95000000000002</x:v>
      </x:c>
      <x:c r="L88" s="14" t="n">
        <x:f>IF(G88=0,0,H88/G88)</x:f>
        <x:v>0.057803468208092484</x:v>
      </x:c>
      <x:c r="M88" s="14" t="n">
        <x:f>IF(H88=0,0,J88/H88)</x:f>
        <x:v>0.1</x:v>
      </x:c>
      <x:c r="N88" s="14" t="n">
        <x:f>IF(K88=0,"",I88/K88)</x:f>
        <x:v>0.14853713428357088</x:v>
      </x:c>
    </x:row>
    <x:row r="89" ht="15" hidden="0" customHeight="1">
      <x:c r="A89" s="12" t="str">
        <x:v>2026-07-27 to 2026-08-08</x:v>
      </x:c>
      <x:c r="B89" s="12" t="str">
        <x:v>G2 Manual Core</x:v>
      </x:c>
      <x:c r="C89" s="12" t="str">
        <x:v>Standard Variants</x:v>
      </x:c>
      <x:c r="D89" s="12" t="str">
        <x:v>BG-G2-BLK</x:v>
      </x:c>
      <x:c r="E89" s="12" t="str">
        <x:v>hand grinder for pour over</x:v>
      </x:c>
      <x:c r="F89" s="12" t="str">
        <x:v>Broad</x:v>
      </x:c>
      <x:c r="G89" s="12" t="n">
        <x:v>570</x:v>
      </x:c>
      <x:c r="H89" s="12" t="n">
        <x:v>35</x:v>
      </x:c>
      <x:c r="I89" s="13" t="n">
        <x:v>21.3</x:v>
      </x:c>
      <x:c r="J89" s="12" t="n">
        <x:v>4</x:v>
      </x:c>
      <x:c r="K89" s="13" t="n">
        <x:v>159.96</x:v>
      </x:c>
      <x:c r="L89" s="14" t="n">
        <x:f>IF(G89=0,0,H89/G89)</x:f>
        <x:v>0.06140350877192982</x:v>
      </x:c>
      <x:c r="M89" s="14" t="n">
        <x:f>IF(H89=0,0,J89/H89)</x:f>
        <x:v>0.11428571428571428</x:v>
      </x:c>
      <x:c r="N89" s="14" t="n">
        <x:f>IF(K89=0,"",I89/K89)</x:f>
        <x:v>0.1331582895723931</x:v>
      </x:c>
    </x:row>
    <x:row r="90" ht="15" hidden="0" customHeight="1">
      <x:c r="A90" s="12" t="str">
        <x:v>2026-07-27 to 2026-08-08</x:v>
      </x:c>
      <x:c r="B90" s="12" t="str">
        <x:v>G2 Discovery</x:v>
      </x:c>
      <x:c r="C90" s="12" t="str">
        <x:v>Black Hero</x:v>
      </x:c>
      <x:c r="D90" s="12" t="str">
        <x:v>BG-G2-BLK</x:v>
      </x:c>
      <x:c r="E90" s="12" t="str">
        <x:v>coffee grinder camping</x:v>
      </x:c>
      <x:c r="F90" s="12" t="str">
        <x:v>Phrase</x:v>
      </x:c>
      <x:c r="G90" s="12" t="n">
        <x:v>469</x:v>
      </x:c>
      <x:c r="H90" s="12" t="n">
        <x:v>25</x:v>
      </x:c>
      <x:c r="I90" s="13" t="n">
        <x:v>15.46</x:v>
      </x:c>
      <x:c r="J90" s="12" t="n">
        <x:v>3</x:v>
      </x:c>
      <x:c r="K90" s="13" t="n">
        <x:v>119.97</x:v>
      </x:c>
      <x:c r="L90" s="14" t="n">
        <x:f>IF(G90=0,0,H90/G90)</x:f>
        <x:v>0.053304904051172705</x:v>
      </x:c>
      <x:c r="M90" s="14" t="n">
        <x:f>IF(H90=0,0,J90/H90)</x:f>
        <x:v>0.12</x:v>
      </x:c>
      <x:c r="N90" s="14" t="n">
        <x:f>IF(K90=0,"",I90/K90)</x:f>
        <x:v>0.12886554972076353</x:v>
      </x:c>
    </x:row>
    <x:row r="91" ht="15" hidden="0" customHeight="1">
      <x:c r="A91" s="12" t="str">
        <x:v>2026-07-27 to 2026-08-08</x:v>
      </x:c>
      <x:c r="B91" s="12" t="str">
        <x:v>G2 Competitor</x:v>
      </x:c>
      <x:c r="C91" s="12" t="str">
        <x:v>Standard Variants</x:v>
      </x:c>
      <x:c r="D91" s="12" t="str">
        <x:v>BG-G2-BLK</x:v>
      </x:c>
      <x:c r="E91" s="12" t="str">
        <x:v>espresso hand grinder</x:v>
      </x:c>
      <x:c r="F91" s="12" t="str">
        <x:v>Broad</x:v>
      </x:c>
      <x:c r="G91" s="12" t="n">
        <x:v>883</x:v>
      </x:c>
      <x:c r="H91" s="12" t="n">
        <x:v>48</x:v>
      </x:c>
      <x:c r="I91" s="13" t="n">
        <x:v>53.14</x:v>
      </x:c>
      <x:c r="J91" s="12" t="n">
        <x:v>1</x:v>
      </x:c>
      <x:c r="K91" s="13" t="n">
        <x:v>39.99</x:v>
      </x:c>
      <x:c r="L91" s="14" t="n">
        <x:f>IF(G91=0,0,H91/G91)</x:f>
        <x:v>0.05436013590033975</x:v>
      </x:c>
      <x:c r="M91" s="14" t="n">
        <x:f>IF(H91=0,0,J91/H91)</x:f>
        <x:v>0.020833333333333332</x:v>
      </x:c>
      <x:c r="N91" s="14" t="n">
        <x:f>IF(K91=0,"",I91/K91)</x:f>
        <x:v>1.328832208052013</x:v>
      </x:c>
    </x:row>
    <x:row r="92" ht="15" hidden="0" customHeight="1">
      <x:c r="A92" s="12" t="str">
        <x:v>2026-07-27 to 2026-08-08</x:v>
      </x:c>
      <x:c r="B92" s="12" t="str">
        <x:v>G2 Manual Core</x:v>
      </x:c>
      <x:c r="C92" s="12" t="str">
        <x:v>Black Hero</x:v>
      </x:c>
      <x:c r="D92" s="12" t="str">
        <x:v>BG-G2-BLK</x:v>
      </x:c>
      <x:c r="E92" s="12" t="str">
        <x:v>electric coffee grinder</x:v>
      </x:c>
      <x:c r="F92" s="12" t="str">
        <x:v>Broad</x:v>
      </x:c>
      <x:c r="G92" s="12" t="n">
        <x:v>1980</x:v>
      </x:c>
      <x:c r="H92" s="12" t="n">
        <x:v>82</x:v>
      </x:c>
      <x:c r="I92" s="13" t="n">
        <x:v>76.05</x:v>
      </x:c>
      <x:c r="J92" s="12" t="n">
        <x:v>0</x:v>
      </x:c>
      <x:c r="K92" s="13" t="n">
        <x:v>0</x:v>
      </x:c>
      <x:c r="L92" s="14" t="n">
        <x:f>IF(G92=0,0,H92/G92)</x:f>
        <x:v>0.04141414141414142</x:v>
      </x:c>
      <x:c r="M92" s="14" t="n">
        <x:f>IF(H92=0,0,J92/H92)</x:f>
        <x:v>0</x:v>
      </x:c>
      <x:c r="N92" s="14" t="str">
        <x:f>IF(K92=0,"",I92/K92)</x:f>
      </x:c>
    </x:row>
    <x:row r="93" ht="15" hidden="0" customHeight="1">
      <x:c r="A93" s="12" t="str">
        <x:v>2026-07-27 to 2026-08-08</x:v>
      </x:c>
      <x:c r="B93" s="12" t="str">
        <x:v>G2 Discovery</x:v>
      </x:c>
      <x:c r="C93" s="12" t="str">
        <x:v>Standard Variants</x:v>
      </x:c>
      <x:c r="D93" s="12" t="str">
        <x:v>BG-G2-SLV</x:v>
      </x:c>
      <x:c r="E93" s="12" t="str">
        <x:v>spice grinder</x:v>
      </x:c>
      <x:c r="F93" s="12" t="str">
        <x:v>Broad</x:v>
      </x:c>
      <x:c r="G93" s="12" t="n">
        <x:v>1123</x:v>
      </x:c>
      <x:c r="H93" s="12" t="n">
        <x:v>44</x:v>
      </x:c>
      <x:c r="I93" s="13" t="n">
        <x:v>39.48</x:v>
      </x:c>
      <x:c r="J93" s="12" t="n">
        <x:v>0</x:v>
      </x:c>
      <x:c r="K93" s="13" t="n">
        <x:v>0</x:v>
      </x:c>
      <x:c r="L93" s="14" t="n">
        <x:f>IF(G93=0,0,H93/G93)</x:f>
        <x:v>0.039180765805877114</x:v>
      </x:c>
      <x:c r="M93" s="14" t="n">
        <x:f>IF(H93=0,0,J93/H93)</x:f>
        <x:v>0</x:v>
      </x:c>
      <x:c r="N93" s="14" t="str">
        <x:f>IF(K93=0,"",I93/K93)</x:f>
      </x:c>
    </x:row>
    <x:row r="94" ht="15" hidden="0" customHeight="1">
      <x:c r="A94" s="12" t="str">
        <x:v>2026-07-27 to 2026-08-08</x:v>
      </x:c>
      <x:c r="B94" s="12" t="str">
        <x:v>G2 Competitor</x:v>
      </x:c>
      <x:c r="C94" s="12" t="str">
        <x:v>Black Hero</x:v>
      </x:c>
      <x:c r="D94" s="12" t="str">
        <x:v>BG-G2-BLK</x:v>
      </x:c>
      <x:c r="E94" s="12" t="str">
        <x:v>coffee grinder battery</x:v>
      </x:c>
      <x:c r="F94" s="12" t="str">
        <x:v>Phrase</x:v>
      </x:c>
      <x:c r="G94" s="12" t="n">
        <x:v>72</x:v>
      </x:c>
      <x:c r="H94" s="12" t="n">
        <x:v>2</x:v>
      </x:c>
      <x:c r="I94" s="13" t="n">
        <x:v>3.7</x:v>
      </x:c>
      <x:c r="J94" s="12" t="n">
        <x:v>0</x:v>
      </x:c>
      <x:c r="K94" s="13" t="n">
        <x:v>0</x:v>
      </x:c>
      <x:c r="L94" s="14" t="n">
        <x:f>IF(G94=0,0,H94/G94)</x:f>
        <x:v>0.027777777777777776</x:v>
      </x:c>
      <x:c r="M94" s="14" t="n">
        <x:f>IF(H94=0,0,J94/H94)</x:f>
        <x:v>0</x:v>
      </x:c>
      <x:c r="N94" s="14" t="str">
        <x:f>IF(K94=0,"",I94/K94)</x:f>
      </x:c>
    </x:row>
    <x:row r="95" ht="15" hidden="0" customHeight="1">
      <x:c r="A95" s="12" t="str">
        <x:v>2026-07-27 to 2026-08-08</x:v>
      </x:c>
      <x:c r="B95" s="12" t="str">
        <x:v>G2 Manual Core</x:v>
      </x:c>
      <x:c r="C95" s="12" t="str">
        <x:v>Standard Variants</x:v>
      </x:c>
      <x:c r="D95" s="12" t="str">
        <x:v>BG-G2-BLK</x:v>
      </x:c>
      <x:c r="E95" s="12" t="str">
        <x:v>best manual coffee grinder</x:v>
      </x:c>
      <x:c r="F95" s="12" t="str">
        <x:v>Exact</x:v>
      </x:c>
      <x:c r="G95" s="12" t="n">
        <x:v>57</x:v>
      </x:c>
      <x:c r="H95" s="12" t="n">
        <x:v>3</x:v>
      </x:c>
      <x:c r="I95" s="13" t="n">
        <x:v>6.09</x:v>
      </x:c>
      <x:c r="J95" s="12" t="n">
        <x:v>1</x:v>
      </x:c>
      <x:c r="K95" s="13" t="n">
        <x:v>39.99</x:v>
      </x:c>
      <x:c r="L95" s="14" t="n">
        <x:f>IF(G95=0,0,H95/G95)</x:f>
        <x:v>0.05263157894736842</x:v>
      </x:c>
      <x:c r="M95" s="14" t="n">
        <x:f>IF(H95=0,0,J95/H95)</x:f>
        <x:v>0.3333333333333333</x:v>
      </x:c>
      <x:c r="N95" s="14" t="n">
        <x:f>IF(K95=0,"",I95/K95)</x:f>
        <x:v>0.15228807201800448</x:v>
      </x:c>
    </x:row>
    <x:row r="96" ht="15" hidden="0" customHeight="1">
      <x:c r="A96" s="12" t="str">
        <x:v>2026-07-27 to 2026-08-08</x:v>
      </x:c>
      <x:c r="B96" s="12" t="str">
        <x:v>G2 Discovery</x:v>
      </x:c>
      <x:c r="C96" s="12" t="str">
        <x:v>Black Hero</x:v>
      </x:c>
      <x:c r="D96" s="12" t="str">
        <x:v>BG-G2-BLK</x:v>
      </x:c>
      <x:c r="E96" s="12" t="str">
        <x:v>quiet coffee grinder</x:v>
      </x:c>
      <x:c r="F96" s="12" t="str">
        <x:v>Phrase</x:v>
      </x:c>
      <x:c r="G96" s="12" t="n">
        <x:v>112</x:v>
      </x:c>
      <x:c r="H96" s="12" t="n">
        <x:v>4</x:v>
      </x:c>
      <x:c r="I96" s="13" t="n">
        <x:v>6.45</x:v>
      </x:c>
      <x:c r="J96" s="12" t="n">
        <x:v>0</x:v>
      </x:c>
      <x:c r="K96" s="13" t="n">
        <x:v>0</x:v>
      </x:c>
      <x:c r="L96" s="14" t="n">
        <x:f>IF(G96=0,0,H96/G96)</x:f>
        <x:v>0.03571428571428571</x:v>
      </x:c>
      <x:c r="M96" s="14" t="n">
        <x:f>IF(H96=0,0,J96/H96)</x:f>
        <x:v>0</x:v>
      </x:c>
      <x:c r="N96" s="14" t="str">
        <x:f>IF(K96=0,"",I96/K96)</x:f>
      </x:c>
    </x:row>
    <x:row r="97" ht="15" hidden="0" customHeight="1">
      <x:c r="A97" s="12" t="str">
        <x:v>2026-07-27 to 2026-08-08</x:v>
      </x:c>
      <x:c r="B97" s="12" t="str">
        <x:v>G2 Competitor</x:v>
      </x:c>
      <x:c r="C97" s="12" t="str">
        <x:v>Standard Variants</x:v>
      </x:c>
      <x:c r="D97" s="12" t="str">
        <x:v>BG-G2-BLK</x:v>
      </x:c>
      <x:c r="E97" s="12" t="str">
        <x:v>mini burr grinder</x:v>
      </x:c>
      <x:c r="F97" s="12" t="str">
        <x:v>Exact</x:v>
      </x:c>
      <x:c r="G97" s="12" t="n">
        <x:v>68</x:v>
      </x:c>
      <x:c r="H97" s="12" t="n">
        <x:v>4</x:v>
      </x:c>
      <x:c r="I97" s="13" t="n">
        <x:v>5.56</x:v>
      </x:c>
      <x:c r="J97" s="12" t="n">
        <x:v>1</x:v>
      </x:c>
      <x:c r="K97" s="13" t="n">
        <x:v>39.99</x:v>
      </x:c>
      <x:c r="L97" s="14" t="n">
        <x:f>IF(G97=0,0,H97/G97)</x:f>
        <x:v>0.058823529411764705</x:v>
      </x:c>
      <x:c r="M97" s="14" t="n">
        <x:f>IF(H97=0,0,J97/H97)</x:f>
        <x:v>0.25</x:v>
      </x:c>
      <x:c r="N97" s="14" t="n">
        <x:f>IF(K97=0,"",I97/K97)</x:f>
        <x:v>0.1390347586896724</x:v>
      </x:c>
    </x:row>
    <x:row r="98" ht="15" hidden="0" customHeight="1">
      <x:c r="A98" s="12" t="str">
        <x:v>2026-07-27 to 2026-08-08</x:v>
      </x:c>
      <x:c r="B98" s="12" t="str">
        <x:v>G2 Manual Core</x:v>
      </x:c>
      <x:c r="C98" s="12" t="str">
        <x:v>Black Hero</x:v>
      </x:c>
      <x:c r="D98" s="12" t="str">
        <x:v>BG-G2-BLK</x:v>
      </x:c>
      <x:c r="E98" s="12" t="str">
        <x:v>coffee mill travel</x:v>
      </x:c>
      <x:c r="F98" s="12" t="str">
        <x:v>Phrase</x:v>
      </x:c>
      <x:c r="G98" s="12" t="n">
        <x:v>176</x:v>
      </x:c>
      <x:c r="H98" s="12" t="n">
        <x:v>10</x:v>
      </x:c>
      <x:c r="I98" s="13" t="n">
        <x:v>6.8</x:v>
      </x:c>
      <x:c r="J98" s="12" t="n">
        <x:v>1</x:v>
      </x:c>
      <x:c r="K98" s="13" t="n">
        <x:v>39.99</x:v>
      </x:c>
      <x:c r="L98" s="14" t="n">
        <x:f>IF(G98=0,0,H98/G98)</x:f>
        <x:v>0.056818181818181816</x:v>
      </x:c>
      <x:c r="M98" s="14" t="n">
        <x:f>IF(H98=0,0,J98/H98)</x:f>
        <x:v>0.1</x:v>
      </x:c>
      <x:c r="N98" s="14" t="n">
        <x:f>IF(K98=0,"",I98/K98)</x:f>
        <x:v>0.1700425106276569</x:v>
      </x:c>
    </x:row>
    <x:row r="99" ht="15" hidden="0" customHeight="1">
      <x:c r="A99" s="12" t="str">
        <x:v>2026-07-27 to 2026-08-08</x:v>
      </x:c>
      <x:c r="B99" s="12" t="str">
        <x:v>G2 Discovery</x:v>
      </x:c>
      <x:c r="C99" s="12" t="str">
        <x:v>Standard Variants</x:v>
      </x:c>
      <x:c r="D99" s="12" t="str">
        <x:v>BG-G2-BLK</x:v>
      </x:c>
      <x:c r="E99" s="12" t="str">
        <x:v>ceramic coffee grinder</x:v>
      </x:c>
      <x:c r="F99" s="12" t="str">
        <x:v>Broad</x:v>
      </x:c>
      <x:c r="G99" s="12" t="n">
        <x:v>404</x:v>
      </x:c>
      <x:c r="H99" s="12" t="n">
        <x:v>19</x:v>
      </x:c>
      <x:c r="I99" s="13" t="n">
        <x:v>12.73</x:v>
      </x:c>
      <x:c r="J99" s="12" t="n">
        <x:v>1</x:v>
      </x:c>
      <x:c r="K99" s="13" t="n">
        <x:v>39.99</x:v>
      </x:c>
      <x:c r="L99" s="14" t="n">
        <x:f>IF(G99=0,0,H99/G99)</x:f>
        <x:v>0.04702970297029703</x:v>
      </x:c>
      <x:c r="M99" s="14" t="n">
        <x:f>IF(H99=0,0,J99/H99)</x:f>
        <x:v>0.05263157894736842</x:v>
      </x:c>
      <x:c r="N99" s="14" t="n">
        <x:f>IF(K99=0,"",I99/K99)</x:f>
        <x:v>0.3183295823955989</x:v>
      </x:c>
    </x:row>
    <x:row r="100" ht="15" hidden="0" customHeight="1">
      <x:c r="A100" s="12" t="str">
        <x:v>2026-07-27 to 2026-08-08</x:v>
      </x:c>
      <x:c r="B100" s="12" t="str">
        <x:v>G2 Competitor</x:v>
      </x:c>
      <x:c r="C100" s="12" t="str">
        <x:v>Black Hero</x:v>
      </x:c>
      <x:c r="D100" s="12" t="str">
        <x:v>BG-G2-SLV</x:v>
      </x:c>
      <x:c r="E100" s="12" t="str">
        <x:v>manual coffee grinder</x:v>
      </x:c>
      <x:c r="F100" s="12" t="str">
        <x:v>Exact</x:v>
      </x:c>
      <x:c r="G100" s="12" t="n">
        <x:v>1517</x:v>
      </x:c>
      <x:c r="H100" s="12" t="n">
        <x:v>92</x:v>
      </x:c>
      <x:c r="I100" s="13" t="n">
        <x:v>47.89</x:v>
      </x:c>
      <x:c r="J100" s="12" t="n">
        <x:v>11</x:v>
      </x:c>
      <x:c r="K100" s="13" t="n">
        <x:v>439.89000000000004</x:v>
      </x:c>
      <x:c r="L100" s="14" t="n">
        <x:f>IF(G100=0,0,H100/G100)</x:f>
        <x:v>0.06064601186552406</x:v>
      </x:c>
      <x:c r="M100" s="14" t="n">
        <x:f>IF(H100=0,0,J100/H100)</x:f>
        <x:v>0.11956521739130435</x:v>
      </x:c>
      <x:c r="N100" s="14" t="n">
        <x:f>IF(K100=0,"",I100/K100)</x:f>
        <x:v>0.10886812612243969</x:v>
      </x:c>
    </x:row>
    <x:row r="101" ht="15" hidden="0" customHeight="1">
      <x:c r="A101" s="12" t="str">
        <x:v>2026-07-27 to 2026-08-08</x:v>
      </x:c>
      <x:c r="B101" s="12" t="str">
        <x:v>G2 Manual Core</x:v>
      </x:c>
      <x:c r="C101" s="12" t="str">
        <x:v>Standard Variants</x:v>
      </x:c>
      <x:c r="D101" s="12" t="str">
        <x:v>BG-G2-BLK</x:v>
      </x:c>
      <x:c r="E101" s="12" t="str">
        <x:v>portable coffee grinder</x:v>
      </x:c>
      <x:c r="F101" s="12" t="str">
        <x:v>Phrase</x:v>
      </x:c>
      <x:c r="G101" s="12" t="n">
        <x:v>1475</x:v>
      </x:c>
      <x:c r="H101" s="12" t="n">
        <x:v>78</x:v>
      </x:c>
      <x:c r="I101" s="13" t="n">
        <x:v>45.74</x:v>
      </x:c>
      <x:c r="J101" s="12" t="n">
        <x:v>8</x:v>
      </x:c>
      <x:c r="K101" s="13" t="n">
        <x:v>391.92</x:v>
      </x:c>
      <x:c r="L101" s="14" t="n">
        <x:f>IF(G101=0,0,H101/G101)</x:f>
        <x:v>0.05288135593220339</x:v>
      </x:c>
      <x:c r="M101" s="14" t="n">
        <x:f>IF(H101=0,0,J101/H101)</x:f>
        <x:v>0.10256410256410256</x:v>
      </x:c>
      <x:c r="N101" s="14" t="n">
        <x:f>IF(K101=0,"",I101/K101)</x:f>
        <x:v>0.11670749132476016</x:v>
      </x:c>
    </x:row>
    <x:row r="102" ht="15" hidden="0" customHeight="1">
      <x:c r="A102" s="12" t="str">
        <x:v>2026-07-27 to 2026-08-08</x:v>
      </x:c>
      <x:c r="B102" s="12" t="str">
        <x:v>G2 Discovery</x:v>
      </x:c>
      <x:c r="C102" s="12" t="str">
        <x:v>Black Hero</x:v>
      </x:c>
      <x:c r="D102" s="12" t="str">
        <x:v>BG-G2-BLK</x:v>
      </x:c>
      <x:c r="E102" s="12" t="str">
        <x:v>travel coffee grinder</x:v>
      </x:c>
      <x:c r="F102" s="12" t="str">
        <x:v>Exact</x:v>
      </x:c>
      <x:c r="G102" s="12" t="n">
        <x:v>736</x:v>
      </x:c>
      <x:c r="H102" s="12" t="n">
        <x:v>42</x:v>
      </x:c>
      <x:c r="I102" s="13" t="n">
        <x:v>25.28</x:v>
      </x:c>
      <x:c r="J102" s="12" t="n">
        <x:v>4</x:v>
      </x:c>
      <x:c r="K102" s="13" t="n">
        <x:v>159.96</x:v>
      </x:c>
      <x:c r="L102" s="14" t="n">
        <x:f>IF(G102=0,0,H102/G102)</x:f>
        <x:v>0.057065217391304345</x:v>
      </x:c>
      <x:c r="M102" s="14" t="n">
        <x:f>IF(H102=0,0,J102/H102)</x:f>
        <x:v>0.09523809523809523</x:v>
      </x:c>
      <x:c r="N102" s="14" t="n">
        <x:f>IF(K102=0,"",I102/K102)</x:f>
        <x:v>0.15803950987746937</x:v>
      </x:c>
    </x:row>
    <x:row r="103" ht="15" hidden="0" customHeight="1">
      <x:c r="A103" s="12" t="str">
        <x:v>2026-07-27 to 2026-08-08</x:v>
      </x:c>
      <x:c r="B103" s="12" t="str">
        <x:v>G2 Competitor</x:v>
      </x:c>
      <x:c r="C103" s="12" t="str">
        <x:v>Standard Variants</x:v>
      </x:c>
      <x:c r="D103" s="12" t="str">
        <x:v>BG-G2-BLK</x:v>
      </x:c>
      <x:c r="E103" s="12" t="str">
        <x:v>hand grinder for pour over</x:v>
      </x:c>
      <x:c r="F103" s="12" t="str">
        <x:v>Broad</x:v>
      </x:c>
      <x:c r="G103" s="12" t="n">
        <x:v>737</x:v>
      </x:c>
      <x:c r="H103" s="12" t="n">
        <x:v>45</x:v>
      </x:c>
      <x:c r="I103" s="13" t="n">
        <x:v>27.55</x:v>
      </x:c>
      <x:c r="J103" s="12" t="n">
        <x:v>5</x:v>
      </x:c>
      <x:c r="K103" s="13" t="n">
        <x:v>199.95000000000002</x:v>
      </x:c>
      <x:c r="L103" s="14" t="n">
        <x:f>IF(G103=0,0,H103/G103)</x:f>
        <x:v>0.06105834464043419</x:v>
      </x:c>
      <x:c r="M103" s="14" t="n">
        <x:f>IF(H103=0,0,J103/H103)</x:f>
        <x:v>0.1111111111111111</x:v>
      </x:c>
      <x:c r="N103" s="14" t="n">
        <x:f>IF(K103=0,"",I103/K103)</x:f>
        <x:v>0.13778444611152788</x:v>
      </x:c>
    </x:row>
    <x:row r="104" ht="15" hidden="0" customHeight="1">
      <x:c r="A104" s="12" t="str">
        <x:v>2026-07-27 to 2026-08-08</x:v>
      </x:c>
      <x:c r="B104" s="12" t="str">
        <x:v>G2 Manual Core</x:v>
      </x:c>
      <x:c r="C104" s="12" t="str">
        <x:v>Black Hero</x:v>
      </x:c>
      <x:c r="D104" s="12" t="str">
        <x:v>BG-G2-BLK</x:v>
      </x:c>
      <x:c r="E104" s="12" t="str">
        <x:v>coffee grinder camping</x:v>
      </x:c>
      <x:c r="F104" s="12" t="str">
        <x:v>Phrase</x:v>
      </x:c>
      <x:c r="G104" s="12" t="n">
        <x:v>398</x:v>
      </x:c>
      <x:c r="H104" s="12" t="n">
        <x:v>21</x:v>
      </x:c>
      <x:c r="I104" s="13" t="n">
        <x:v>13.1</x:v>
      </x:c>
      <x:c r="J104" s="12" t="n">
        <x:v>2</x:v>
      </x:c>
      <x:c r="K104" s="13" t="n">
        <x:v>79.98</x:v>
      </x:c>
      <x:c r="L104" s="14" t="n">
        <x:f>IF(G104=0,0,H104/G104)</x:f>
        <x:v>0.052763819095477386</x:v>
      </x:c>
      <x:c r="M104" s="14" t="n">
        <x:f>IF(H104=0,0,J104/H104)</x:f>
        <x:v>0.09523809523809523</x:v>
      </x:c>
      <x:c r="N104" s="14" t="n">
        <x:f>IF(K104=0,"",I104/K104)</x:f>
        <x:v>0.16379094773693423</x:v>
      </x:c>
    </x:row>
    <x:row r="105" ht="15" hidden="0" customHeight="1">
      <x:c r="A105" s="12" t="str">
        <x:v>2026-07-27 to 2026-08-08</x:v>
      </x:c>
      <x:c r="B105" s="12" t="str">
        <x:v>G2 Discovery</x:v>
      </x:c>
      <x:c r="C105" s="12" t="str">
        <x:v>Standard Variants</x:v>
      </x:c>
      <x:c r="D105" s="12" t="str">
        <x:v>BG-G2-BLK</x:v>
      </x:c>
      <x:c r="E105" s="12" t="str">
        <x:v>espresso hand grinder</x:v>
      </x:c>
      <x:c r="F105" s="12" t="str">
        <x:v>Broad</x:v>
      </x:c>
      <x:c r="G105" s="12" t="n">
        <x:v>1150</x:v>
      </x:c>
      <x:c r="H105" s="12" t="n">
        <x:v>63</x:v>
      </x:c>
      <x:c r="I105" s="13" t="n">
        <x:v>69.16</x:v>
      </x:c>
      <x:c r="J105" s="12" t="n">
        <x:v>2</x:v>
      </x:c>
      <x:c r="K105" s="13" t="n">
        <x:v>79.98</x:v>
      </x:c>
      <x:c r="L105" s="14" t="n">
        <x:f>IF(G105=0,0,H105/G105)</x:f>
        <x:v>0.05478260869565217</x:v>
      </x:c>
      <x:c r="M105" s="14" t="n">
        <x:f>IF(H105=0,0,J105/H105)</x:f>
        <x:v>0.031746031746031744</x:v>
      </x:c>
      <x:c r="N105" s="14" t="n">
        <x:f>IF(K105=0,"",I105/K105)</x:f>
        <x:v>0.8647161790447611</x:v>
      </x:c>
    </x:row>
    <x:row r="106" ht="15" hidden="0" customHeight="1">
      <x:c r="A106" s="12" t="str">
        <x:v>2026-07-27 to 2026-08-08</x:v>
      </x:c>
      <x:c r="B106" s="12" t="str">
        <x:v>G2 Competitor</x:v>
      </x:c>
      <x:c r="C106" s="12" t="str">
        <x:v>Black Hero</x:v>
      </x:c>
      <x:c r="D106" s="12" t="str">
        <x:v>BG-G2-BLK</x:v>
      </x:c>
      <x:c r="E106" s="12" t="str">
        <x:v>electric coffee grinder</x:v>
      </x:c>
      <x:c r="F106" s="12" t="str">
        <x:v>Broad</x:v>
      </x:c>
      <x:c r="G106" s="12" t="n">
        <x:v>1672</x:v>
      </x:c>
      <x:c r="H106" s="12" t="n">
        <x:v>69</x:v>
      </x:c>
      <x:c r="I106" s="13" t="n">
        <x:v>64.22</x:v>
      </x:c>
      <x:c r="J106" s="12" t="n">
        <x:v>0</x:v>
      </x:c>
      <x:c r="K106" s="13" t="n">
        <x:v>0</x:v>
      </x:c>
      <x:c r="L106" s="14" t="n">
        <x:f>IF(G106=0,0,H106/G106)</x:f>
        <x:v>0.04126794258373206</x:v>
      </x:c>
      <x:c r="M106" s="14" t="n">
        <x:f>IF(H106=0,0,J106/H106)</x:f>
        <x:v>0</x:v>
      </x:c>
      <x:c r="N106" s="14" t="str">
        <x:f>IF(K106=0,"",I106/K106)</x:f>
      </x:c>
    </x:row>
  </x:sheetData>
  <x:pageMargins left="0.7" right="0.7" top="0.75" bottom="0.75" header="0.3" footer="0.3"/>
</x:worksheet>
</file>