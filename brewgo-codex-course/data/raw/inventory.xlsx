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f91f520072448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ventory" sheetId="1" r:id="R1b1e33640a5a45e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766E"/>
      </x:patternFill>
    </x:fill>
  </x:fills>
  <x:borders count="4">
    <x:border/>
    <x:border>
      <x:left style="thin">
        <x:color rgb="FF0B5F56"/>
      </x:left>
      <x:top style="thin">
        <x:color rgb="FF0B5F56"/>
      </x:top>
      <x:bottom style="thin">
        <x:color rgb="FF0B5F56"/>
      </x:bottom>
    </x:border>
    <x:border>
      <x:top style="thin">
        <x:color rgb="FF0B5F56"/>
      </x:top>
      <x:bottom style="thin">
        <x:color rgb="FF0B5F56"/>
      </x:bottom>
    </x:border>
    <x:border>
      <x:right style="thin">
        <x:color rgb="FF0B5F56"/>
      </x:right>
      <x:top style="thin">
        <x:color rgb="FF0B5F56"/>
      </x:top>
      <x:bottom style="thin">
        <x:color rgb="FF0B5F56"/>
      </x:bottom>
    </x:border>
  </x:borders>
  <x:cellStyleXfs count="1">
    <x:xf numFmtId="0" fontId="0" fillId="0" borderId="0"/>
  </x:cellStyleXfs>
  <x:cellXfs count="1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c7f25d877b74789" /><Relationship Type="http://schemas.openxmlformats.org/officeDocument/2006/relationships/theme" Target="/xl/theme/theme1.xml" Id="R3c563f78d3034b42" /><Relationship Type="http://schemas.openxmlformats.org/officeDocument/2006/relationships/sharedStrings" Target="/xl/sharedStrings.xml" Id="Re2ce0f7a7c364f2a" /><Relationship Type="http://schemas.openxmlformats.org/officeDocument/2006/relationships/worksheet" Target="/xl/worksheets/sheet1.xml" Id="R1b1e33640a5a45e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5" hidden="0" customWidth="1"/>
    <x:col min="3" max="3" width="11" hidden="0" customWidth="1"/>
    <x:col min="4" max="4" width="11" hidden="0" customWidth="1"/>
    <x:col min="5" max="5" width="15" hidden="0" customWidth="1"/>
    <x:col min="6" max="6" width="15" hidden="0" customWidth="1"/>
    <x:col min="7" max="7" width="14" hidden="0" customWidth="1"/>
    <x:col min="8" max="8" width="16" hidden="0" customWidth="1"/>
    <x:col min="9" max="9" width="18" hidden="0" customWidth="1"/>
    <x:col min="10" max="10" width="48" hidden="0" customWidth="1"/>
  </x:cols>
  <x:sheetData>
    <x:row r="1" ht="30" hidden="0" customHeight="1">
      <x:c r="A1" s="9" t="str">
        <x:v>sku</x:v>
      </x:c>
      <x:c r="B1" s="10" t="str">
        <x:v>current_stock</x:v>
      </x:c>
      <x:c r="C1" s="10" t="str">
        <x:v>inbound</x:v>
      </x:c>
      <x:c r="D1" s="10" t="str">
        <x:v>reserved</x:v>
      </x:c>
      <x:c r="E1" s="10" t="str">
        <x:v>avg_daily_sales</x:v>
      </x:c>
      <x:c r="F1" s="10" t="str">
        <x:v>lead_time_days</x:v>
      </x:c>
      <x:c r="G1" s="10" t="str">
        <x:v>safety_stock</x:v>
      </x:c>
      <x:c r="H1" s="10" t="str">
        <x:v>stock_cover_days</x:v>
      </x:c>
      <x:c r="I1" s="10" t="str">
        <x:v>risk_status</x:v>
      </x:c>
      <x:c r="J1" s="11" t="str">
        <x:v>notes</x:v>
      </x:c>
    </x:row>
    <x:row r="2" ht="15" hidden="0" customHeight="1">
      <x:c r="A2" s="12" t="str">
        <x:v>BG-G2-BLK</x:v>
      </x:c>
      <x:c r="B2" s="12" t="n">
        <x:v>260</x:v>
      </x:c>
      <x:c r="C2" s="12" t="n">
        <x:v>0</x:v>
      </x:c>
      <x:c r="D2" s="12" t="n">
        <x:v>130</x:v>
      </x:c>
      <x:c r="E2" s="13" t="n">
        <x:v>22</x:v>
      </x:c>
      <x:c r="F2" s="12" t="n">
        <x:v>35</x:v>
      </x:c>
      <x:c r="G2" s="12" t="n">
        <x:v>450</x:v>
      </x:c>
      <x:c r="H2" s="13" t="n">
        <x:f>IF(E2="","",(B2+C2-D2)/E2)</x:f>
        <x:v>5.909090909090909</x:v>
      </x:c>
      <x:c r="I2" s="12" t="str">
        <x:f>IF(E2="","Data insufficient",IF((B2+C2-D2)&lt;G2,"Stockout risk",IF(H2&lt;F2,"Potential risk",IF(E2&lt;1.5,"Slow moving","Normal"))))</x:f>
        <x:v>Stockout risk</x:v>
      </x:c>
      <x:c r="J2" s="12" t="str">
        <x:v>Inbound PO has not been placed.</x:v>
      </x:c>
    </x:row>
    <x:row r="3" ht="15" hidden="0" customHeight="1">
      <x:c r="A3" s="12" t="str">
        <x:v>BG-G2-SLV</x:v>
      </x:c>
      <x:c r="B3" s="12" t="n">
        <x:v>720</x:v>
      </x:c>
      <x:c r="C3" s="12" t="n">
        <x:v>350</x:v>
      </x:c>
      <x:c r="D3" s="12" t="n">
        <x:v>90</x:v>
      </x:c>
      <x:c r="E3" s="13" t="n">
        <x:v>11</x:v>
      </x:c>
      <x:c r="F3" s="12" t="n">
        <x:v>28</x:v>
      </x:c>
      <x:c r="G3" s="12" t="n">
        <x:v>360</x:v>
      </x:c>
      <x:c r="H3" s="13" t="n">
        <x:f>IF(E3="","",(B3+C3-D3)/E3)</x:f>
        <x:v>89.0909090909091</x:v>
      </x:c>
      <x:c r="I3" s="12" t="str">
        <x:f>IF(E3="","Data insufficient",IF((B3+C3-D3)&lt;G3,"Stockout risk",IF(H3&lt;F3,"Potential risk",IF(E3&lt;1.5,"Slow moving","Normal"))))</x:f>
        <x:v>Normal</x:v>
      </x:c>
      <x:c r="J3" s="12" t="str">
        <x:v>Normal replenishment in transit.</x:v>
      </x:c>
    </x:row>
    <x:row r="4" ht="15" hidden="0" customHeight="1">
      <x:c r="A4" s="12" t="str">
        <x:v>BG-G2-CRM</x:v>
      </x:c>
      <x:c r="B4" s="12" t="n">
        <x:v>390</x:v>
      </x:c>
      <x:c r="C4" s="12" t="n">
        <x:v>180</x:v>
      </x:c>
      <x:c r="D4" s="12" t="n">
        <x:v>44</x:v>
      </x:c>
      <x:c r="E4" s="13" t="n">
        <x:v>8</x:v>
      </x:c>
      <x:c r="F4" s="12" t="n">
        <x:v>28</x:v>
      </x:c>
      <x:c r="G4" s="12" t="n">
        <x:v>280</x:v>
      </x:c>
      <x:c r="H4" s="13" t="n">
        <x:f>IF(E4="","",(B4+C4-D4)/E4)</x:f>
        <x:v>65.75</x:v>
      </x:c>
      <x:c r="I4" s="12" t="str">
        <x:f>IF(E4="","Data insufficient",IF((B4+C4-D4)&lt;G4,"Stockout risk",IF(H4&lt;F4,"Potential risk",IF(E4&lt;1.5,"Slow moving","Normal"))))</x:f>
        <x:v>Normal</x:v>
      </x:c>
      <x:c r="J4" s="12" t="str">
        <x:v>Seasonal demand variation not modeled.</x:v>
      </x:c>
    </x:row>
    <x:row r="5" ht="15" hidden="0" customHeight="1">
      <x:c r="A5" s="12" t="str">
        <x:v>BG-G2-BLU</x:v>
      </x:c>
      <x:c r="B5" s="12" t="n">
        <x:v>170</x:v>
      </x:c>
      <x:c r="C5" s="12" t="n">
        <x:v>0</x:v>
      </x:c>
      <x:c r="D5" s="12" t="n">
        <x:v>31</x:v>
      </x:c>
      <x:c r="E5" s="13"/>
      <x:c r="F5" s="12" t="n">
        <x:v>28</x:v>
      </x:c>
      <x:c r="G5" s="12" t="n">
        <x:v>220</x:v>
      </x:c>
      <x:c r="H5" s="13" t="str">
        <x:f>IF(E5="","",(B5+C5-D5)/E5)</x:f>
      </x:c>
      <x:c r="I5" s="12" t="str">
        <x:f>IF(E5="","Data insufficient",IF((B5+C5-D5)&lt;G5,"Stockout risk",IF(H5&lt;F5,"Potential risk",IF(E5&lt;1.5,"Slow moving","Normal"))))</x:f>
        <x:v>Data insufficient</x:v>
      </x:c>
      <x:c r="J5" s="12" t="str">
        <x:v>Recent daily-sales extract unavailable.</x:v>
      </x:c>
    </x:row>
    <x:row r="6" ht="15" hidden="0" customHeight="1">
      <x:c r="A6" s="12" t="str">
        <x:v>BG-G2-BLK-GFT</x:v>
      </x:c>
      <x:c r="B6" s="12" t="n">
        <x:v>95</x:v>
      </x:c>
      <x:c r="C6" s="12" t="n">
        <x:v>220</x:v>
      </x:c>
      <x:c r="D6" s="12" t="n">
        <x:v>19</x:v>
      </x:c>
      <x:c r="E6" s="13" t="n">
        <x:v>4.5</x:v>
      </x:c>
      <x:c r="F6" s="12" t="n">
        <x:v>35</x:v>
      </x:c>
      <x:c r="G6" s="12" t="n">
        <x:v>180</x:v>
      </x:c>
      <x:c r="H6" s="13" t="n">
        <x:f>IF(E6="","",(B6+C6-D6)/E6)</x:f>
        <x:v>65.77777777777777</x:v>
      </x:c>
      <x:c r="I6" s="12" t="str">
        <x:f>IF(E6="","Data insufficient",IF((B6+C6-D6)&lt;G6,"Stockout risk",IF(H6&lt;F6,"Potential risk",IF(E6&lt;1.5,"Slow moving","Normal"))))</x:f>
        <x:v>Normal</x:v>
      </x:c>
      <x:c r="J6" s="12" t="str">
        <x:v>Gift season demand may rise.</x:v>
      </x:c>
    </x:row>
    <x:row r="7" ht="15" hidden="0" customHeight="1">
      <x:c r="A7" s="12" t="str">
        <x:v>BG-G2-SLV-GFT</x:v>
      </x:c>
      <x:c r="B7" s="12" t="n">
        <x:v>260</x:v>
      </x:c>
      <x:c r="C7" s="12" t="n">
        <x:v>100</x:v>
      </x:c>
      <x:c r="D7" s="12" t="n">
        <x:v>12</x:v>
      </x:c>
      <x:c r="E7" s="13" t="n">
        <x:v>2.2</x:v>
      </x:c>
      <x:c r="F7" s="12" t="n">
        <x:v>35</x:v>
      </x:c>
      <x:c r="G7" s="12" t="n">
        <x:v>120</x:v>
      </x:c>
      <x:c r="H7" s="13" t="n">
        <x:f>IF(E7="","",(B7+C7-D7)/E7)</x:f>
        <x:v>158.18181818181816</x:v>
      </x:c>
      <x:c r="I7" s="12" t="str">
        <x:f>IF(E7="","Data insufficient",IF((B7+C7-D7)&lt;G7,"Stockout risk",IF(H7&lt;F7,"Potential risk",IF(E7&lt;1.5,"Slow moving","Normal"))))</x:f>
        <x:v>Normal</x:v>
      </x:c>
      <x:c r="J7" s="12" t="str">
        <x:v>Low velocity but adequate cover.</x:v>
      </x:c>
    </x:row>
    <x:row r="8" ht="15" hidden="0" customHeight="1">
      <x:c r="A8" s="12" t="str">
        <x:v>BG-G2-CRM-GFT</x:v>
      </x:c>
      <x:c r="B8" s="12" t="n">
        <x:v>41</x:v>
      </x:c>
      <x:c r="C8" s="12" t="n">
        <x:v>0</x:v>
      </x:c>
      <x:c r="D8" s="12" t="n">
        <x:v>4</x:v>
      </x:c>
      <x:c r="E8" s="13" t="n">
        <x:v>0.8</x:v>
      </x:c>
      <x:c r="F8" s="12" t="n">
        <x:v>35</x:v>
      </x:c>
      <x:c r="G8" s="12" t="n">
        <x:v>80</x:v>
      </x:c>
      <x:c r="H8" s="13" t="n">
        <x:f>IF(E8="","",(B8+C8-D8)/E8)</x:f>
        <x:v>46.25</x:v>
      </x:c>
      <x:c r="I8" s="12" t="str">
        <x:f>IF(E8="","Data insufficient",IF((B8+C8-D8)&lt;G8,"Stockout risk",IF(H8&lt;F8,"Potential risk",IF(E8&lt;1.5,"Slow moving","Normal"))))</x:f>
        <x:v>Stockout risk</x:v>
      </x:c>
      <x:c r="J8" s="12" t="str">
        <x:v>Potential stockout only if demand accelerates.</x:v>
      </x:c>
    </x:row>
    <x:row r="9" ht="15" hidden="0" customHeight="1">
      <x:c r="A9" s="12" t="str">
        <x:v>BG-G2-GRN</x:v>
      </x:c>
      <x:c r="B9" s="12" t="n">
        <x:v>510</x:v>
      </x:c>
      <x:c r="C9" s="12" t="n">
        <x:v>0</x:v>
      </x:c>
      <x:c r="D9" s="12" t="n">
        <x:v>20</x:v>
      </x:c>
      <x:c r="E9" s="13" t="n">
        <x:v>1.1</x:v>
      </x:c>
      <x:c r="F9" s="12" t="n">
        <x:v>0</x:v>
      </x:c>
      <x:c r="G9" s="12" t="n">
        <x:v>0</x:v>
      </x:c>
      <x:c r="H9" s="13" t="n">
        <x:f>IF(E9="","",(B9+C9-D9)/E9)</x:f>
        <x:v>445.45454545454544</x:v>
      </x:c>
      <x:c r="I9" s="12" t="str">
        <x:f>IF(E9="","Data insufficient",IF((B9+C9-D9)&lt;G9,"Stockout risk",IF(H9&lt;F9,"Potential risk",IF(E9&lt;1.5,"Slow moving","Normal"))))</x:f>
        <x:v>Slow moving</x:v>
      </x:c>
      <x:c r="J9" s="12" t="str">
        <x:v>Discontinued color; sell-through decision needed.</x:v>
      </x:c>
    </x:row>
    <x:row r="10" ht="15" hidden="0" customHeight="1">
      <x:c r="A10" s="12" t="str">
        <x:v>BG-G2-HND-BLK</x:v>
      </x:c>
      <x:c r="B10" s="12" t="n">
        <x:v>85</x:v>
      </x:c>
      <x:c r="C10" s="12" t="n">
        <x:v>400</x:v>
      </x:c>
      <x:c r="D10" s="12" t="n">
        <x:v>12</x:v>
      </x:c>
      <x:c r="E10" s="13" t="n">
        <x:v>0.6</x:v>
      </x:c>
      <x:c r="F10" s="12" t="n">
        <x:v>21</x:v>
      </x:c>
      <x:c r="G10" s="12" t="n">
        <x:v>35</x:v>
      </x:c>
      <x:c r="H10" s="13" t="n">
        <x:f>IF(E10="","",(B10+C10-D10)/E10)</x:f>
        <x:v>788.3333333333334</x:v>
      </x:c>
      <x:c r="I10" s="12" t="str">
        <x:f>IF(E10="","Data insufficient",IF((B10+C10-D10)&lt;G10,"Stockout risk",IF(H10&lt;F10,"Potential risk",IF(E10&lt;1.5,"Slow moving","Normal"))))</x:f>
        <x:v>Slow moving</x:v>
      </x:c>
      <x:c r="J10" s="12" t="str">
        <x:v>Accessory demand linked to quality cases.</x:v>
      </x:c>
    </x:row>
    <x:row r="11" ht="15" hidden="0" customHeight="1">
      <x:c r="A11" s="12" t="str">
        <x:v>BG-G2-HND-SLV</x:v>
      </x:c>
      <x:c r="B11" s="12" t="n">
        <x:v>190</x:v>
      </x:c>
      <x:c r="C11" s="12" t="n">
        <x:v>150</x:v>
      </x:c>
      <x:c r="D11" s="12" t="n">
        <x:v>6</x:v>
      </x:c>
      <x:c r="E11" s="13" t="n">
        <x:v>0.25</x:v>
      </x:c>
      <x:c r="F11" s="12" t="n">
        <x:v>21</x:v>
      </x:c>
      <x:c r="G11" s="12" t="n">
        <x:v>30</x:v>
      </x:c>
      <x:c r="H11" s="13" t="n">
        <x:f>IF(E11="","",(B11+C11-D11)/E11)</x:f>
        <x:v>1336</x:v>
      </x:c>
      <x:c r="I11" s="12" t="str">
        <x:f>IF(E11="","Data insufficient",IF((B11+C11-D11)&lt;G11,"Stockout risk",IF(H11&lt;F11,"Potential risk",IF(E11&lt;1.5,"Slow moving","Normal"))))</x:f>
        <x:v>Slow moving</x:v>
      </x:c>
      <x:c r="J11" s="12" t="str">
        <x:v>Low velocity; review replenishment before next PO.</x:v>
      </x:c>
    </x:row>
    <x:row r="12" ht="15" hidden="0" customHeight="1">
      <x:c r="A12" s="12" t="str">
        <x:v>BG-G2-CUP-GLS</x:v>
      </x:c>
      <x:c r="B12" s="12" t="n">
        <x:v>33</x:v>
      </x:c>
      <x:c r="C12" s="12" t="n">
        <x:v>120</x:v>
      </x:c>
      <x:c r="D12" s="12" t="n">
        <x:v>16</x:v>
      </x:c>
      <x:c r="E12" s="13" t="n">
        <x:v>0.9</x:v>
      </x:c>
      <x:c r="F12" s="12" t="n">
        <x:v>21</x:v>
      </x:c>
      <x:c r="G12" s="12" t="n">
        <x:v>55</x:v>
      </x:c>
      <x:c r="H12" s="13" t="n">
        <x:f>IF(E12="","",(B12+C12-D12)/E12)</x:f>
        <x:v>152.22222222222223</x:v>
      </x:c>
      <x:c r="I12" s="12" t="str">
        <x:f>IF(E12="","Data insufficient",IF((B12+C12-D12)&lt;G12,"Stockout risk",IF(H12&lt;F12,"Potential risk",IF(E12&lt;1.5,"Slow moving","Normal"))))</x:f>
        <x:v>Slow moving</x:v>
      </x:c>
      <x:c r="J12" s="12" t="str">
        <x:v>Damage-related replacement demand may be understated.</x:v>
      </x:c>
    </x:row>
    <x:row r="13" ht="15" hidden="0" customHeight="1">
      <x:c r="A13" s="12" t="str">
        <x:v>BG-G2-LID-BLK</x:v>
      </x:c>
      <x:c r="B13" s="12" t="n">
        <x:v>260</x:v>
      </x:c>
      <x:c r="C13" s="12" t="n">
        <x:v>0</x:v>
      </x:c>
      <x:c r="D13" s="12" t="n">
        <x:v>9</x:v>
      </x:c>
      <x:c r="E13" s="13" t="n">
        <x:v>0.15</x:v>
      </x:c>
      <x:c r="F13" s="12" t="n">
        <x:v>30</x:v>
      </x:c>
      <x:c r="G13" s="12" t="n">
        <x:v>20</x:v>
      </x:c>
      <x:c r="H13" s="13" t="n">
        <x:f>IF(E13="","",(B13+C13-D13)/E13)</x:f>
        <x:v>1673.3333333333335</x:v>
      </x:c>
      <x:c r="I13" s="12" t="str">
        <x:f>IF(E13="","Data insufficient",IF((B13+C13-D13)&lt;G13,"Stockout risk",IF(H13&lt;F13,"Potential risk",IF(E13&lt;1.5,"Slow moving","Normal"))))</x:f>
        <x:v>Slow moving</x:v>
      </x:c>
      <x:c r="J13" s="12" t="str">
        <x:v>Slow mover.</x:v>
      </x:c>
    </x:row>
  </x:sheetData>
  <x:pageMargins left="0.7" right="0.7" top="0.75" bottom="0.75" header="0.3" footer="0.3"/>
</x:worksheet>
</file>